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Сводка" sheetId="1" state="visible" r:id="rId1"/>
    <sheet xmlns:r="http://schemas.openxmlformats.org/officeDocument/2006/relationships" name="Допущения" sheetId="2" state="visible" r:id="rId2"/>
    <sheet xmlns:r="http://schemas.openxmlformats.org/officeDocument/2006/relationships" name="Продукция" sheetId="3" state="visible" r:id="rId3"/>
    <sheet xmlns:r="http://schemas.openxmlformats.org/officeDocument/2006/relationships" name="Выручка" sheetId="4" state="visible" r:id="rId4"/>
    <sheet xmlns:r="http://schemas.openxmlformats.org/officeDocument/2006/relationships" name="Корма" sheetId="5" state="visible" r:id="rId5"/>
    <sheet xmlns:r="http://schemas.openxmlformats.org/officeDocument/2006/relationships" name="CAPEX" sheetId="6" state="visible" r:id="rId6"/>
    <sheet xmlns:r="http://schemas.openxmlformats.org/officeDocument/2006/relationships" name="OPEX" sheetId="7" state="visible" r:id="rId7"/>
    <sheet xmlns:r="http://schemas.openxmlformats.org/officeDocument/2006/relationships" name="Экономика" sheetId="8" state="visible" r:id="rId8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#,##0.0"/>
    <numFmt numFmtId="165" formatCode="0.0%"/>
    <numFmt numFmtId="166" formatCode="0.0"/>
    <numFmt numFmtId="167" formatCode="#,##0;\(#,##0\);\-"/>
    <numFmt numFmtId="168" formatCode="#,##0.0;\(#,##0.0\);\-"/>
  </numFmts>
  <fonts count="1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6"/>
    </font>
    <font>
      <name val="Arial"/>
      <charset val="1"/>
      <family val="0"/>
      <i val="1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b val="1"/>
      <color rgb="FF1F4E2E"/>
      <sz val="12"/>
    </font>
    <font>
      <name val="Arial"/>
      <charset val="1"/>
      <family val="0"/>
      <b val="1"/>
      <sz val="13"/>
    </font>
    <font>
      <name val="Arial"/>
      <charset val="1"/>
      <family val="0"/>
      <i val="1"/>
      <sz val="9"/>
    </font>
    <font>
      <name val="Arial"/>
      <charset val="1"/>
      <family val="0"/>
      <i val="1"/>
      <color rgb="FF0000FF"/>
      <sz val="9"/>
    </font>
    <font>
      <name val="Arial"/>
      <charset val="1"/>
      <family val="0"/>
      <b val="1"/>
      <sz val="11"/>
    </font>
    <font>
      <name val="Arial"/>
      <charset val="1"/>
      <family val="0"/>
      <color rgb="FF000000"/>
      <sz val="11"/>
    </font>
    <font>
      <name val="Arial"/>
      <charset val="1"/>
      <family val="0"/>
      <color rgb="FF0000FF"/>
      <sz val="11"/>
    </font>
    <font>
      <name val="Arial"/>
      <charset val="1"/>
      <family val="0"/>
      <i val="1"/>
      <sz val="8"/>
    </font>
    <font>
      <name val="Arial"/>
      <charset val="1"/>
      <family val="0"/>
      <color rgb="FF008000"/>
      <sz val="11"/>
    </font>
    <font>
      <name val="Arial"/>
      <charset val="1"/>
      <family val="0"/>
      <i val="1"/>
      <sz val="11"/>
    </font>
    <font>
      <name val="Arial"/>
      <charset val="1"/>
      <family val="0"/>
      <sz val="8"/>
    </font>
  </fonts>
  <fills count="5">
    <fill>
      <patternFill/>
    </fill>
    <fill>
      <patternFill patternType="gray125"/>
    </fill>
    <fill>
      <patternFill patternType="solid">
        <fgColor rgb="FF1F4E2E"/>
        <bgColor rgb="FF333300"/>
      </patternFill>
    </fill>
    <fill>
      <patternFill patternType="solid">
        <fgColor rgb="FFFFF2CC"/>
        <bgColor rgb="FFFFFFFF"/>
      </patternFill>
    </fill>
    <fill>
      <patternFill patternType="solid">
        <fgColor rgb="FFD9E5DC"/>
        <bgColor rgb="FFCCCCCC"/>
      </patternFill>
    </fill>
  </fills>
  <borders count="3">
    <border>
      <left/>
      <right/>
      <top/>
      <bottom/>
      <diagonal/>
    </border>
    <border>
      <left/>
      <right/>
      <top/>
      <bottom style="thin">
        <color rgb="FFCCCCCC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1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3" fontId="8" fillId="0" borderId="1" applyAlignment="1" pivotButton="0" quotePrefix="0" xfId="0">
      <alignment horizontal="right" vertical="bottom"/>
    </xf>
    <xf numFmtId="164" fontId="8" fillId="0" borderId="1" applyAlignment="1" pivotButton="0" quotePrefix="0" xfId="0">
      <alignment horizontal="right" vertical="bottom"/>
    </xf>
    <xf numFmtId="165" fontId="8" fillId="0" borderId="1" applyAlignment="1" pivotButton="0" quotePrefix="0" xfId="0">
      <alignment horizontal="right" vertical="bottom"/>
    </xf>
    <xf numFmtId="166" fontId="8" fillId="0" borderId="1" applyAlignment="1" pivotButton="0" quotePrefix="0" xfId="0">
      <alignment horizontal="right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6" fillId="2" borderId="2" applyAlignment="1" pivotButton="0" quotePrefix="0" xfId="0">
      <alignment horizontal="center" vertical="center" wrapText="1"/>
    </xf>
    <xf numFmtId="0" fontId="13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164" fontId="14" fillId="3" borderId="2" applyAlignment="1" pivotButton="0" quotePrefix="0" xfId="0">
      <alignment horizontal="center" vertical="center" wrapText="1"/>
    </xf>
    <xf numFmtId="0" fontId="15" fillId="0" borderId="2" applyAlignment="1" pivotButton="0" quotePrefix="0" xfId="0">
      <alignment horizontal="left" vertical="center" wrapText="1"/>
    </xf>
    <xf numFmtId="3" fontId="14" fillId="3" borderId="2" applyAlignment="1" pivotButton="0" quotePrefix="0" xfId="0">
      <alignment horizontal="center" vertical="center" wrapText="1"/>
    </xf>
    <xf numFmtId="166" fontId="14" fillId="3" borderId="2" applyAlignment="1" pivotButton="0" quotePrefix="0" xfId="0">
      <alignment horizontal="center" vertical="center" wrapText="1"/>
    </xf>
    <xf numFmtId="2" fontId="14" fillId="3" borderId="2" applyAlignment="1" pivotButton="0" quotePrefix="0" xfId="0">
      <alignment horizontal="center" vertical="center" wrapText="1"/>
    </xf>
    <xf numFmtId="165" fontId="14" fillId="3" borderId="2" applyAlignment="1" pivotButton="0" quotePrefix="0" xfId="0">
      <alignment horizontal="center" vertical="center" wrapText="1"/>
    </xf>
    <xf numFmtId="167" fontId="13" fillId="0" borderId="2" applyAlignment="1" pivotButton="0" quotePrefix="0" xfId="0">
      <alignment horizontal="center" vertical="center" wrapText="1"/>
    </xf>
    <xf numFmtId="0" fontId="15" fillId="0" borderId="2" applyAlignment="1" pivotButton="0" quotePrefix="0" xfId="0">
      <alignment horizontal="center" vertical="center" wrapText="1"/>
    </xf>
    <xf numFmtId="0" fontId="12" fillId="4" borderId="2" applyAlignment="1" pivotButton="0" quotePrefix="0" xfId="0">
      <alignment horizontal="general" vertical="bottom"/>
    </xf>
    <xf numFmtId="0" fontId="0" fillId="4" borderId="2" applyAlignment="1" pivotButton="0" quotePrefix="0" xfId="0">
      <alignment horizontal="general" vertical="bottom"/>
    </xf>
    <xf numFmtId="167" fontId="12" fillId="4" borderId="2" applyAlignment="1" pivotButton="0" quotePrefix="0" xfId="0">
      <alignment horizontal="general" vertical="bottom"/>
    </xf>
    <xf numFmtId="164" fontId="13" fillId="0" borderId="2" applyAlignment="1" pivotButton="0" quotePrefix="0" xfId="0">
      <alignment horizontal="center" vertical="center" wrapText="1"/>
    </xf>
    <xf numFmtId="164" fontId="16" fillId="0" borderId="2" applyAlignment="1" pivotButton="0" quotePrefix="0" xfId="0">
      <alignment horizontal="right" vertical="center"/>
    </xf>
    <xf numFmtId="168" fontId="13" fillId="0" borderId="2" applyAlignment="1" pivotButton="0" quotePrefix="0" xfId="0">
      <alignment horizontal="right" vertical="center"/>
    </xf>
    <xf numFmtId="165" fontId="13" fillId="0" borderId="2" applyAlignment="1" pivotButton="0" quotePrefix="0" xfId="0">
      <alignment horizontal="right" vertical="center"/>
    </xf>
    <xf numFmtId="0" fontId="13" fillId="0" borderId="2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168" fontId="14" fillId="3" borderId="2" applyAlignment="1" pivotButton="0" quotePrefix="0" xfId="0">
      <alignment horizontal="general" vertical="bottom"/>
    </xf>
    <xf numFmtId="165" fontId="13" fillId="0" borderId="2" applyAlignment="1" pivotButton="0" quotePrefix="0" xfId="0">
      <alignment horizontal="general" vertical="bottom"/>
    </xf>
    <xf numFmtId="168" fontId="12" fillId="4" borderId="2" applyAlignment="1" pivotButton="0" quotePrefix="0" xfId="0">
      <alignment horizontal="general" vertical="bottom"/>
    </xf>
    <xf numFmtId="165" fontId="12" fillId="4" borderId="2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165" fontId="17" fillId="0" borderId="0" applyAlignment="1" pivotButton="0" quotePrefix="0" xfId="0">
      <alignment horizontal="general" vertical="bottom"/>
    </xf>
    <xf numFmtId="4" fontId="14" fillId="3" borderId="2" applyAlignment="1" pivotButton="0" quotePrefix="0" xfId="0">
      <alignment horizontal="center" vertical="center" wrapText="1"/>
    </xf>
    <xf numFmtId="165" fontId="13" fillId="0" borderId="2" applyAlignment="1" pivotButton="0" quotePrefix="0" xfId="0">
      <alignment horizontal="center" vertical="center" wrapText="1"/>
    </xf>
    <xf numFmtId="168" fontId="12" fillId="0" borderId="0" applyAlignment="1" pivotButton="0" quotePrefix="0" xfId="0">
      <alignment horizontal="general" vertical="bottom"/>
    </xf>
    <xf numFmtId="0" fontId="14" fillId="3" borderId="2" applyAlignment="1" pivotButton="0" quotePrefix="0" xfId="0">
      <alignment horizontal="center" vertical="center" wrapText="1"/>
    </xf>
    <xf numFmtId="167" fontId="14" fillId="3" borderId="2" applyAlignment="1" pivotButton="0" quotePrefix="0" xfId="0">
      <alignment horizontal="center" vertical="center" wrapText="1"/>
    </xf>
    <xf numFmtId="0" fontId="18" fillId="0" borderId="2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general" vertical="bottom"/>
    </xf>
    <xf numFmtId="167" fontId="13" fillId="0" borderId="0" applyAlignment="1" pivotButton="0" quotePrefix="0" xfId="0">
      <alignment horizontal="general" vertical="bottom"/>
    </xf>
    <xf numFmtId="168" fontId="16" fillId="0" borderId="2" applyAlignment="1" pivotButton="0" quotePrefix="0" xfId="0">
      <alignment horizontal="right" vertical="center"/>
    </xf>
    <xf numFmtId="168" fontId="14" fillId="3" borderId="2" applyAlignment="1" pivotButton="0" quotePrefix="0" xfId="0">
      <alignment horizontal="right" vertical="center"/>
    </xf>
    <xf numFmtId="3" fontId="13" fillId="0" borderId="2" applyAlignment="1" pivotButton="0" quotePrefix="0" xfId="0">
      <alignment horizontal="right" vertical="center"/>
    </xf>
    <xf numFmtId="164" fontId="13" fillId="0" borderId="2" applyAlignment="1" pivotButton="0" quotePrefix="0" xfId="0">
      <alignment horizontal="right" vertical="center"/>
    </xf>
    <xf numFmtId="0" fontId="12" fillId="4" borderId="2" applyAlignment="1" pivotButton="0" quotePrefix="0" xfId="0">
      <alignment horizontal="left" vertical="center" wrapText="1"/>
    </xf>
    <xf numFmtId="164" fontId="12" fillId="4" borderId="2" applyAlignment="1" pivotButton="0" quotePrefix="0" xfId="0">
      <alignment horizontal="right" vertical="center"/>
    </xf>
    <xf numFmtId="165" fontId="12" fillId="4" borderId="2" applyAlignment="1" pivotButton="0" quotePrefix="0" xfId="0">
      <alignment horizontal="right" vertical="center"/>
    </xf>
    <xf numFmtId="166" fontId="13" fillId="0" borderId="2" applyAlignment="1" pivotButton="0" quotePrefix="0" xfId="0">
      <alignment horizontal="right" vertical="center"/>
    </xf>
    <xf numFmtId="0" fontId="1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3" fontId="8" fillId="0" borderId="1" applyAlignment="1" pivotButton="0" quotePrefix="0" xfId="0">
      <alignment horizontal="right" vertical="bottom"/>
    </xf>
    <xf numFmtId="164" fontId="8" fillId="0" borderId="1" applyAlignment="1" pivotButton="0" quotePrefix="0" xfId="0">
      <alignment horizontal="right" vertical="bottom"/>
    </xf>
    <xf numFmtId="165" fontId="8" fillId="0" borderId="1" applyAlignment="1" pivotButton="0" quotePrefix="0" xfId="0">
      <alignment horizontal="right" vertical="bottom"/>
    </xf>
    <xf numFmtId="166" fontId="8" fillId="0" borderId="1" applyAlignment="1" pivotButton="0" quotePrefix="0" xfId="0">
      <alignment horizontal="right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6" fillId="2" borderId="2" applyAlignment="1" pivotButton="0" quotePrefix="0" xfId="0">
      <alignment horizontal="center" vertical="center" wrapText="1"/>
    </xf>
    <xf numFmtId="0" fontId="13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164" fontId="14" fillId="3" borderId="2" applyAlignment="1" pivotButton="0" quotePrefix="0" xfId="0">
      <alignment horizontal="center" vertical="center" wrapText="1"/>
    </xf>
    <xf numFmtId="0" fontId="15" fillId="0" borderId="2" applyAlignment="1" pivotButton="0" quotePrefix="0" xfId="0">
      <alignment horizontal="left" vertical="center" wrapText="1"/>
    </xf>
    <xf numFmtId="3" fontId="14" fillId="3" borderId="2" applyAlignment="1" pivotButton="0" quotePrefix="0" xfId="0">
      <alignment horizontal="center" vertical="center" wrapText="1"/>
    </xf>
    <xf numFmtId="166" fontId="14" fillId="3" borderId="2" applyAlignment="1" pivotButton="0" quotePrefix="0" xfId="0">
      <alignment horizontal="center" vertical="center" wrapText="1"/>
    </xf>
    <xf numFmtId="2" fontId="14" fillId="3" borderId="2" applyAlignment="1" pivotButton="0" quotePrefix="0" xfId="0">
      <alignment horizontal="center" vertical="center" wrapText="1"/>
    </xf>
    <xf numFmtId="165" fontId="14" fillId="3" borderId="2" applyAlignment="1" pivotButton="0" quotePrefix="0" xfId="0">
      <alignment horizontal="center" vertical="center" wrapText="1"/>
    </xf>
    <xf numFmtId="167" fontId="13" fillId="0" borderId="2" applyAlignment="1" pivotButton="0" quotePrefix="0" xfId="0">
      <alignment horizontal="center" vertical="center" wrapText="1"/>
    </xf>
    <xf numFmtId="0" fontId="15" fillId="0" borderId="2" applyAlignment="1" pivotButton="0" quotePrefix="0" xfId="0">
      <alignment horizontal="center" vertical="center" wrapText="1"/>
    </xf>
    <xf numFmtId="0" fontId="12" fillId="4" borderId="2" applyAlignment="1" pivotButton="0" quotePrefix="0" xfId="0">
      <alignment horizontal="general" vertical="bottom"/>
    </xf>
    <xf numFmtId="0" fontId="0" fillId="4" borderId="2" applyAlignment="1" pivotButton="0" quotePrefix="0" xfId="0">
      <alignment horizontal="general" vertical="bottom"/>
    </xf>
    <xf numFmtId="167" fontId="12" fillId="4" borderId="2" applyAlignment="1" pivotButton="0" quotePrefix="0" xfId="0">
      <alignment horizontal="general" vertical="bottom"/>
    </xf>
    <xf numFmtId="164" fontId="13" fillId="0" borderId="2" applyAlignment="1" pivotButton="0" quotePrefix="0" xfId="0">
      <alignment horizontal="center" vertical="center" wrapText="1"/>
    </xf>
    <xf numFmtId="164" fontId="16" fillId="0" borderId="2" applyAlignment="1" pivotButton="0" quotePrefix="0" xfId="0">
      <alignment horizontal="right" vertical="center"/>
    </xf>
    <xf numFmtId="168" fontId="13" fillId="0" borderId="2" applyAlignment="1" pivotButton="0" quotePrefix="0" xfId="0">
      <alignment horizontal="right" vertical="center"/>
    </xf>
    <xf numFmtId="165" fontId="13" fillId="0" borderId="2" applyAlignment="1" pivotButton="0" quotePrefix="0" xfId="0">
      <alignment horizontal="right" vertical="center"/>
    </xf>
    <xf numFmtId="0" fontId="13" fillId="0" borderId="2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168" fontId="14" fillId="3" borderId="2" applyAlignment="1" pivotButton="0" quotePrefix="0" xfId="0">
      <alignment horizontal="general" vertical="bottom"/>
    </xf>
    <xf numFmtId="165" fontId="13" fillId="0" borderId="2" applyAlignment="1" pivotButton="0" quotePrefix="0" xfId="0">
      <alignment horizontal="general" vertical="bottom"/>
    </xf>
    <xf numFmtId="168" fontId="12" fillId="4" borderId="2" applyAlignment="1" pivotButton="0" quotePrefix="0" xfId="0">
      <alignment horizontal="general" vertical="bottom"/>
    </xf>
    <xf numFmtId="165" fontId="12" fillId="4" borderId="2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165" fontId="17" fillId="0" borderId="0" applyAlignment="1" pivotButton="0" quotePrefix="0" xfId="0">
      <alignment horizontal="general" vertical="bottom"/>
    </xf>
    <xf numFmtId="4" fontId="14" fillId="3" borderId="2" applyAlignment="1" pivotButton="0" quotePrefix="0" xfId="0">
      <alignment horizontal="center" vertical="center" wrapText="1"/>
    </xf>
    <xf numFmtId="165" fontId="13" fillId="0" borderId="2" applyAlignment="1" pivotButton="0" quotePrefix="0" xfId="0">
      <alignment horizontal="center" vertical="center" wrapText="1"/>
    </xf>
    <xf numFmtId="168" fontId="12" fillId="0" borderId="0" applyAlignment="1" pivotButton="0" quotePrefix="0" xfId="0">
      <alignment horizontal="general" vertical="bottom"/>
    </xf>
    <xf numFmtId="0" fontId="14" fillId="3" borderId="2" applyAlignment="1" pivotButton="0" quotePrefix="0" xfId="0">
      <alignment horizontal="center" vertical="center" wrapText="1"/>
    </xf>
    <xf numFmtId="167" fontId="14" fillId="3" borderId="2" applyAlignment="1" pivotButton="0" quotePrefix="0" xfId="0">
      <alignment horizontal="center" vertical="center" wrapText="1"/>
    </xf>
    <xf numFmtId="0" fontId="18" fillId="0" borderId="2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general" vertical="bottom"/>
    </xf>
    <xf numFmtId="167" fontId="13" fillId="0" borderId="0" applyAlignment="1" pivotButton="0" quotePrefix="0" xfId="0">
      <alignment horizontal="general" vertical="bottom"/>
    </xf>
    <xf numFmtId="168" fontId="16" fillId="0" borderId="2" applyAlignment="1" pivotButton="0" quotePrefix="0" xfId="0">
      <alignment horizontal="right" vertical="center"/>
    </xf>
    <xf numFmtId="168" fontId="14" fillId="3" borderId="2" applyAlignment="1" pivotButton="0" quotePrefix="0" xfId="0">
      <alignment horizontal="right" vertical="center"/>
    </xf>
    <xf numFmtId="3" fontId="13" fillId="0" borderId="2" applyAlignment="1" pivotButton="0" quotePrefix="0" xfId="0">
      <alignment horizontal="right" vertical="center"/>
    </xf>
    <xf numFmtId="164" fontId="13" fillId="0" borderId="2" applyAlignment="1" pivotButton="0" quotePrefix="0" xfId="0">
      <alignment horizontal="right" vertical="center"/>
    </xf>
    <xf numFmtId="0" fontId="12" fillId="4" borderId="2" applyAlignment="1" pivotButton="0" quotePrefix="0" xfId="0">
      <alignment horizontal="left" vertical="center" wrapText="1"/>
    </xf>
    <xf numFmtId="164" fontId="12" fillId="4" borderId="2" applyAlignment="1" pivotButton="0" quotePrefix="0" xfId="0">
      <alignment horizontal="right" vertical="center"/>
    </xf>
    <xf numFmtId="165" fontId="12" fillId="4" borderId="2" applyAlignment="1" pivotButton="0" quotePrefix="0" xfId="0">
      <alignment horizontal="right" vertical="center"/>
    </xf>
    <xf numFmtId="166" fontId="13" fillId="0" borderId="2" applyAlignment="1" pivotButton="0" quotePrefix="0" xfId="0">
      <alignment horizontal="right" vertical="center"/>
    </xf>
    <xf numFmtId="0" fontId="15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5D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4E2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58" min="1" max="1"/>
    <col width="18" customWidth="1" style="58" min="2" max="2"/>
  </cols>
  <sheetData>
    <row r="1" ht="19.5" customHeight="1" s="59">
      <c r="A1" s="60" t="inlineStr">
        <is>
          <t>ПТИЦЕКОМПЛЕКС «НОВА-АГРО» — СВОДКА</t>
        </is>
      </c>
    </row>
    <row r="2" ht="15" customHeight="1" s="59">
      <c r="A2" s="61" t="inlineStr">
        <is>
          <t>Запорожская область · CAPEX 12 000 млн ₽ · направление агрохолдинга · ставка на бройлер + яйцо (~70% направленческого CAPEX)</t>
        </is>
      </c>
    </row>
    <row r="3" ht="15" customHeight="1" s="59">
      <c r="A3" s="61" t="inlineStr">
        <is>
          <t>Цены и нормативы — актуальные опт. РФ, II кв. 2026 (консервативно)</t>
        </is>
      </c>
    </row>
    <row r="5" ht="15" customHeight="1" s="59">
      <c r="A5" s="62" t="inlineStr">
        <is>
          <t>КЛЮЧЕВЫЕ ПОКАЗАТЕЛИ</t>
        </is>
      </c>
      <c r="B5" s="63" t="n"/>
    </row>
    <row r="6" ht="15" customHeight="1" s="59">
      <c r="A6" s="64" t="inlineStr">
        <is>
          <t>CAPEX, млн ₽</t>
        </is>
      </c>
      <c r="B6" s="65">
        <f>Экономика!B4</f>
        <v/>
      </c>
    </row>
    <row r="7" ht="15" customHeight="1" s="59">
      <c r="A7" s="64" t="inlineStr">
        <is>
          <t>Мясо птицы, т/год</t>
        </is>
      </c>
      <c r="B7" s="65">
        <f>Продукция!G9</f>
        <v/>
      </c>
    </row>
    <row r="8" ht="15" customHeight="1" s="59">
      <c r="A8" s="64" t="inlineStr">
        <is>
          <t>Куриное яйцо, млн шт./год</t>
        </is>
      </c>
      <c r="B8" s="66">
        <f>Продукция!G13</f>
        <v/>
      </c>
    </row>
    <row r="9" ht="15" customHeight="1" s="59">
      <c r="A9" s="64" t="inlineStr">
        <is>
          <t>Перепелиное яйцо, млн шт./год</t>
        </is>
      </c>
      <c r="B9" s="66">
        <f>Продукция!G14</f>
        <v/>
      </c>
    </row>
    <row r="10" ht="15" customHeight="1" s="59">
      <c r="A10" s="64" t="inlineStr">
        <is>
          <t>Корма, т/год</t>
        </is>
      </c>
      <c r="B10" s="65">
        <f>Корма!D12</f>
        <v/>
      </c>
    </row>
    <row r="11" ht="15" customHeight="1" s="59">
      <c r="A11" s="64" t="inlineStr">
        <is>
          <t>Выручка (полн. мощн.), млн ₽/год</t>
        </is>
      </c>
      <c r="B11" s="66">
        <f>Выручка!E12</f>
        <v/>
      </c>
    </row>
    <row r="12" ht="15" customHeight="1" s="59">
      <c r="A12" s="64" t="inlineStr">
        <is>
          <t>OPEX (полн. мощн.), млн ₽/год</t>
        </is>
      </c>
      <c r="B12" s="66">
        <f>OPEX!B13</f>
        <v/>
      </c>
    </row>
    <row r="13" ht="15" customHeight="1" s="59">
      <c r="A13" s="64" t="inlineStr">
        <is>
          <t>EBITDA, млн ₽/год</t>
        </is>
      </c>
      <c r="B13" s="66">
        <f>Экономика!B7</f>
        <v/>
      </c>
    </row>
    <row r="14" ht="15" customHeight="1" s="59">
      <c r="A14" s="64" t="inlineStr">
        <is>
          <t>Маржа EBITDA</t>
        </is>
      </c>
      <c r="B14" s="67">
        <f>Экономика!B8</f>
        <v/>
      </c>
    </row>
    <row r="15" ht="15" customHeight="1" s="59">
      <c r="A15" s="64" t="inlineStr">
        <is>
          <t>Простая окупаемость, лет</t>
        </is>
      </c>
      <c r="B15" s="68">
        <f>Экономика!B14</f>
        <v/>
      </c>
    </row>
    <row r="16" ht="15" customHeight="1" s="59">
      <c r="A16" s="64" t="inlineStr">
        <is>
          <t>Рабочих мест, чел.</t>
        </is>
      </c>
      <c r="B16" s="65" t="n">
        <v>480</v>
      </c>
    </row>
    <row r="17" ht="15" customHeight="1" s="59">
      <c r="A17" s="64" t="inlineStr">
        <is>
          <t>Единовременное поголовье, гол.</t>
        </is>
      </c>
      <c r="B17" s="65" t="n">
        <v>2147400</v>
      </c>
    </row>
    <row r="18" ht="15" customHeight="1" s="59">
      <c r="A18" s="64" t="inlineStr">
        <is>
          <t>Птичников/модулей, шт.</t>
        </is>
      </c>
      <c r="B18" s="65" t="n">
        <v>118</v>
      </c>
    </row>
    <row r="20" ht="15" customHeight="1" s="59">
      <c r="A20" s="61" t="inlineStr">
        <is>
          <t>Подробности — на листах: Продукция, Выручка, Корма, CAPEX, OPEX, Экономика, Допущения.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2" customWidth="1" style="58" min="1" max="1"/>
    <col width="8" customWidth="1" style="58" min="2" max="2"/>
    <col width="12" customWidth="1" style="58" min="3" max="3"/>
    <col width="60" customWidth="1" style="58" min="4" max="4"/>
  </cols>
  <sheetData>
    <row r="1" ht="15.75" customHeight="1" s="59">
      <c r="A1" s="69" t="inlineStr">
        <is>
          <t>ПТИЦЕКОМПЛЕКС «НОВА-АГРО» — КЛЮЧЕВЫЕ ДОПУЩЕНИЯ И ЦЕНЫ</t>
        </is>
      </c>
    </row>
    <row r="2" ht="15" customHeight="1" s="59">
      <c r="A2" s="70" t="inlineStr">
        <is>
          <t>Запорожская область | CAPEX 12 000 млн ₽ | горизонт 10 лет | старт 01.09.2026 | режим ЕСХН 6%</t>
        </is>
      </c>
    </row>
    <row r="3" ht="15" customHeight="1" s="59">
      <c r="A3" s="71" t="inlineStr">
        <is>
          <t>Цены — оптовые, РФ, II кв. 2026 (консервативно). Синим — вводные параметры.</t>
        </is>
      </c>
    </row>
    <row r="5" ht="15" customHeight="1" s="59">
      <c r="A5" s="72" t="inlineStr">
        <is>
          <t>ЦЕНЫ РЕАЛИЗАЦИИ И КОРМА</t>
        </is>
      </c>
    </row>
    <row r="6" ht="15" customHeight="1" s="59">
      <c r="A6" s="73" t="inlineStr">
        <is>
          <t>Параметр</t>
        </is>
      </c>
      <c r="B6" s="73" t="inlineStr">
        <is>
          <t>Ед.</t>
        </is>
      </c>
      <c r="C6" s="73" t="inlineStr">
        <is>
          <t>Значение</t>
        </is>
      </c>
      <c r="D6" s="73" t="inlineStr">
        <is>
          <t>Источник / комментарий</t>
        </is>
      </c>
    </row>
    <row r="7" ht="15" customHeight="1" s="59">
      <c r="A7" s="74" t="inlineStr">
        <is>
          <t>Цена бройлера (тушка+разделка, халяль)</t>
        </is>
      </c>
      <c r="B7" s="75" t="inlineStr">
        <is>
          <t>₽/кг</t>
        </is>
      </c>
      <c r="C7" s="76" t="n">
        <v>205</v>
      </c>
      <c r="D7" s="77" t="inlineStr">
        <is>
          <t>опт тушка ~200 ₽/кг + разделка; Росптицесоюз/Kommersant, июнь 2026</t>
        </is>
      </c>
    </row>
    <row r="8" ht="15" customHeight="1" s="59">
      <c r="A8" s="74" t="inlineStr">
        <is>
          <t>Цена индейки (тушка+разделка)</t>
        </is>
      </c>
      <c r="B8" s="75" t="inlineStr">
        <is>
          <t>₽/кг</t>
        </is>
      </c>
      <c r="C8" s="76" t="n">
        <v>360</v>
      </c>
      <c r="D8" s="77" t="inlineStr">
        <is>
          <t>тушка ~335, филе 485-525; meatinfo, 2026</t>
        </is>
      </c>
    </row>
    <row r="9" ht="15" customHeight="1" s="59">
      <c r="A9" s="74" t="inlineStr">
        <is>
          <t>Цена утки (тушка охл.)</t>
        </is>
      </c>
      <c r="B9" s="75" t="inlineStr">
        <is>
          <t>₽/кг</t>
        </is>
      </c>
      <c r="C9" s="76" t="n">
        <v>320</v>
      </c>
      <c r="D9" s="77" t="inlineStr">
        <is>
          <t>тушка 309-350; meatinfo, 2026</t>
        </is>
      </c>
    </row>
    <row r="10" ht="15" customHeight="1" s="59">
      <c r="A10" s="74" t="inlineStr">
        <is>
          <t>Цена гуся (тушка)</t>
        </is>
      </c>
      <c r="B10" s="75" t="inlineStr">
        <is>
          <t>₽/кг</t>
        </is>
      </c>
      <c r="C10" s="76" t="n">
        <v>480</v>
      </c>
      <c r="D10" s="77" t="inlineStr">
        <is>
          <t>тушка 500-620 (консервативно); meatinfo, 2026</t>
        </is>
      </c>
    </row>
    <row r="11" ht="15" customHeight="1" s="59">
      <c r="A11" s="74" t="inlineStr">
        <is>
          <t>Цена перепела (тушка)</t>
        </is>
      </c>
      <c r="B11" s="75" t="inlineStr">
        <is>
          <t>₽/кг</t>
        </is>
      </c>
      <c r="C11" s="76" t="n">
        <v>450</v>
      </c>
      <c r="D11" s="77" t="inlineStr">
        <is>
          <t>опт 380-430 + премиум; meatinfo, 2026</t>
        </is>
      </c>
    </row>
    <row r="12" ht="15" customHeight="1" s="59">
      <c r="A12" s="74" t="inlineStr">
        <is>
          <t>Цена куриного яйца</t>
        </is>
      </c>
      <c r="B12" s="75" t="inlineStr">
        <is>
          <t>₽/шт</t>
        </is>
      </c>
      <c r="C12" s="76" t="n">
        <v>7</v>
      </c>
      <c r="D12" s="77" t="inlineStr">
        <is>
          <t>≈70 ₽/дес.; опт 77-85 ₽/дес. без НДС, рынок волатилен (профицит)</t>
        </is>
      </c>
    </row>
    <row r="13" ht="15" customHeight="1" s="59">
      <c r="A13" s="74" t="inlineStr">
        <is>
          <t>Цена перепелиного яйца</t>
        </is>
      </c>
      <c r="B13" s="75" t="inlineStr">
        <is>
          <t>₽/шт</t>
        </is>
      </c>
      <c r="C13" s="76" t="n">
        <v>3</v>
      </c>
      <c r="D13" s="77" t="inlineStr">
        <is>
          <t>опт 3-3,5 ₽/шт; meatinfo, 2026</t>
        </is>
      </c>
    </row>
    <row r="14" ht="26.25" customHeight="1" s="59">
      <c r="A14" s="74" t="inlineStr">
        <is>
          <t>Себестоимость комбикорма (собств. завод)</t>
        </is>
      </c>
      <c r="B14" s="75" t="inlineStr">
        <is>
          <t>₽/т</t>
        </is>
      </c>
      <c r="C14" s="78" t="n">
        <v>28000</v>
      </c>
      <c r="D14" s="77" t="inlineStr">
        <is>
          <t>корм птицы ~28 тыс ₽/т (2025), собств. производство холдинга</t>
        </is>
      </c>
    </row>
    <row r="16"/>
    <row r="17">
      <c r="A17" t="inlineStr">
        <is>
          <t>МЕТОДОЛОГИЯ И ЭТАЛОН BASELINE (КРОЛИКИ)</t>
        </is>
      </c>
    </row>
    <row r="18">
      <c r="A18" t="inlineStr">
        <is>
          <t>Параметр</t>
        </is>
      </c>
      <c r="B18" t="inlineStr">
        <is>
          <t>Ед.</t>
        </is>
      </c>
      <c r="C18" t="inlineStr">
        <is>
          <t>Значение</t>
        </is>
      </c>
      <c r="D18" t="inlineStr">
        <is>
          <t>Источник / комментарий</t>
        </is>
      </c>
    </row>
    <row r="19">
      <c r="A19" t="inlineStr">
        <is>
          <t>Ставка дисконтирования (для NPV/IRR)</t>
        </is>
      </c>
      <c r="B19" t="inlineStr">
        <is>
          <t>%</t>
        </is>
      </c>
      <c r="C19" t="n">
        <v>10</v>
      </c>
      <c r="D19" t="inlineStr">
        <is>
          <t>docs/1.ТЭО_МОЯ МЕЧТА.docx tab#7</t>
        </is>
      </c>
    </row>
    <row r="20">
      <c r="A20" t="inlineStr">
        <is>
          <t>CAPEX solar на блоке</t>
        </is>
      </c>
      <c r="B20" t="inlineStr">
        <is>
          <t>МВт·ч / млн ₽</t>
        </is>
      </c>
      <c r="C20" t="inlineStr">
        <is>
          <t>10 / 1180,8</t>
        </is>
      </c>
      <c r="D20" t="inlineStr">
        <is>
          <t>tab#23; = кролики</t>
        </is>
      </c>
    </row>
    <row r="21">
      <c r="A21" t="inlineStr">
        <is>
          <t>CAPEX компost помёта</t>
        </is>
      </c>
      <c r="B21" t="inlineStr">
        <is>
          <t>т/ч / млн ₽</t>
        </is>
      </c>
      <c r="C21" t="inlineStr">
        <is>
          <t>5 / 36</t>
        </is>
      </c>
      <c r="D21" t="inlineStr">
        <is>
          <t>tab#23; = кролики</t>
        </is>
      </c>
    </row>
    <row r="22">
      <c r="A22" t="inlineStr">
        <is>
          <t>Локальный biogaz+ГПU в блоке</t>
        </is>
      </c>
      <c r="B22" t="inlineStr">
        <is>
          <t>—</t>
        </is>
      </c>
      <c r="C22" t="inlineStr">
        <is>
          <t>нет</t>
        </is>
      </c>
      <c r="D22" t="inlineStr">
        <is>
          <t>как кролики; помёт → APK 20 МВт·ч</t>
        </is>
      </c>
    </row>
    <row r="23">
      <c r="A23" t="inlineStr">
        <is>
          <t>OPEX покупное электро</t>
        </is>
      </c>
      <c r="B23" t="inlineStr">
        <is>
          <t>млн ₽/год</t>
        </is>
      </c>
      <c r="C23" t="n">
        <v>0</v>
      </c>
      <c r="D23" t="inlineStr">
        <is>
          <t>у кроликов строки нет</t>
        </is>
      </c>
    </row>
    <row r="24">
      <c r="A24" t="inlineStr">
        <is>
          <t>Удобрение из органики</t>
        </is>
      </c>
      <c r="B24" t="inlineStr">
        <is>
          <t>т/год × ₽/кг</t>
        </is>
      </c>
      <c r="C24" t="inlineStr">
        <is>
          <t>43 800 × 12</t>
        </is>
      </c>
      <c r="D24" t="inlineStr">
        <is>
          <t>tab#4,#205; сырьё — помёт птицы</t>
        </is>
      </c>
    </row>
    <row r="25">
      <c r="A25" t="inlineStr">
        <is>
          <t>ККЗ в CAPEX блока</t>
        </is>
      </c>
      <c r="B25" t="inlineStr">
        <is>
          <t>—</t>
        </is>
      </c>
      <c r="C25" t="inlineStr">
        <is>
          <t>нет</t>
        </is>
      </c>
      <c r="D25" t="inlineStr">
        <is>
          <t>корм с ККЗ холдинга ~28 000 ₽/т; у кроликов ККЗ 958,5 млн в docx</t>
        </is>
      </c>
    </row>
    <row r="26">
      <c r="A26" t="inlineStr">
        <is>
          <t>Горизонт finmodel</t>
        </is>
      </c>
      <c r="B26" t="inlineStr">
        <is>
          <t>лет</t>
        </is>
      </c>
      <c r="C26" t="n">
        <v>10</v>
      </c>
      <c r="D26" t="inlineStr">
        <is>
          <t>2026–2035, лист «Экономика»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58" min="1" max="1"/>
    <col width="16" customWidth="1" style="58" min="2" max="2"/>
    <col width="14" customWidth="1" style="58" min="3" max="3"/>
    <col width="16" customWidth="1" style="58" min="4" max="4"/>
    <col width="12" customWidth="1" style="58" min="5" max="6"/>
    <col width="16" customWidth="1" style="58" min="7" max="7"/>
    <col width="14" customWidth="1" style="58" min="8" max="8"/>
  </cols>
  <sheetData>
    <row r="1" ht="15.75" customHeight="1" s="59">
      <c r="A1" s="69" t="inlineStr">
        <is>
          <t>ПОГОЛОВЬЕ, ЦИКЛЫ И ВЫХОД ПРОДУКЦИИ</t>
        </is>
      </c>
    </row>
    <row r="3" ht="39" customHeight="1" s="59">
      <c r="A3" s="73" t="inlineStr">
        <is>
          <t>Вид / продукт</t>
        </is>
      </c>
      <c r="B3" s="73" t="inlineStr">
        <is>
          <t>Единоврем. поголовье, гол.</t>
        </is>
      </c>
      <c r="C3" s="73" t="inlineStr">
        <is>
          <t>Оборотов/год</t>
        </is>
      </c>
      <c r="D3" s="73" t="inlineStr">
        <is>
          <t>Голов на убой/год</t>
        </is>
      </c>
      <c r="E3" s="73" t="inlineStr">
        <is>
          <t>Жив. масса, кг</t>
        </is>
      </c>
      <c r="F3" s="73" t="inlineStr">
        <is>
          <t>Убойный выход</t>
        </is>
      </c>
      <c r="G3" s="73" t="inlineStr">
        <is>
          <t>Мясо, т/год</t>
        </is>
      </c>
      <c r="H3" s="73" t="inlineStr">
        <is>
          <t>Падёж учтён</t>
        </is>
      </c>
    </row>
    <row r="4" ht="15" customHeight="1" s="59">
      <c r="A4" s="74" t="inlineStr">
        <is>
          <t>Бройлер ROSS 308</t>
        </is>
      </c>
      <c r="B4" s="78" t="n">
        <v>1440000</v>
      </c>
      <c r="C4" s="79" t="n">
        <v>6.5</v>
      </c>
      <c r="D4" s="78" t="n">
        <v>9079200</v>
      </c>
      <c r="E4" s="80" t="n">
        <v>2.5</v>
      </c>
      <c r="F4" s="81" t="n">
        <v>0.75</v>
      </c>
      <c r="G4" s="82">
        <f>D4*E4*F4/1000</f>
        <v/>
      </c>
      <c r="H4" s="83" t="inlineStr">
        <is>
          <t>3% падёж</t>
        </is>
      </c>
    </row>
    <row r="5" ht="15" customHeight="1" s="59">
      <c r="A5" s="74" t="inlineStr">
        <is>
          <t>Индейка BUT Big 6</t>
        </is>
      </c>
      <c r="B5" s="78" t="n">
        <v>30000</v>
      </c>
      <c r="C5" s="79" t="n">
        <v>2</v>
      </c>
      <c r="D5" s="78" t="n">
        <v>57600</v>
      </c>
      <c r="E5" s="80" t="n">
        <v>15</v>
      </c>
      <c r="F5" s="81" t="n">
        <v>0.78</v>
      </c>
      <c r="G5" s="82">
        <f>D5*E5*F5/1000</f>
        <v/>
      </c>
      <c r="H5" s="83" t="inlineStr">
        <is>
          <t>4% падёж</t>
        </is>
      </c>
    </row>
    <row r="6" ht="15" customHeight="1" s="59">
      <c r="A6" s="74" t="inlineStr">
        <is>
          <t>Утка Cherry Valley</t>
        </is>
      </c>
      <c r="B6" s="78" t="n">
        <v>20000</v>
      </c>
      <c r="C6" s="79" t="n">
        <v>5</v>
      </c>
      <c r="D6" s="78" t="n">
        <v>96000</v>
      </c>
      <c r="E6" s="80" t="n">
        <v>3.5</v>
      </c>
      <c r="F6" s="81" t="n">
        <v>0.75</v>
      </c>
      <c r="G6" s="82">
        <f>D6*E6*F6/1000</f>
        <v/>
      </c>
      <c r="H6" s="83" t="inlineStr">
        <is>
          <t>4% падёж</t>
        </is>
      </c>
    </row>
    <row r="7" ht="15" customHeight="1" s="59">
      <c r="A7" s="74" t="inlineStr">
        <is>
          <t>Гусь Линдовская</t>
        </is>
      </c>
      <c r="B7" s="78" t="n">
        <v>2400</v>
      </c>
      <c r="C7" s="79" t="n">
        <v>2</v>
      </c>
      <c r="D7" s="78" t="n">
        <v>4560</v>
      </c>
      <c r="E7" s="80" t="n">
        <v>6</v>
      </c>
      <c r="F7" s="81" t="n">
        <v>0.72</v>
      </c>
      <c r="G7" s="82">
        <f>D7*E7*F7/1000</f>
        <v/>
      </c>
      <c r="H7" s="83" t="inlineStr">
        <is>
          <t>5% падёж</t>
        </is>
      </c>
    </row>
    <row r="8" ht="15" customHeight="1" s="59">
      <c r="A8" s="74" t="inlineStr">
        <is>
          <t>Перепёл Фараон (мясо)</t>
        </is>
      </c>
      <c r="B8" s="78" t="n">
        <v>150000</v>
      </c>
      <c r="C8" s="79" t="n">
        <v>7</v>
      </c>
      <c r="D8" s="78" t="n">
        <v>1018500</v>
      </c>
      <c r="E8" s="80" t="n">
        <v>0.28</v>
      </c>
      <c r="F8" s="81" t="n">
        <v>0.7</v>
      </c>
      <c r="G8" s="82">
        <f>D8*E8*F8/1000</f>
        <v/>
      </c>
      <c r="H8" s="83" t="inlineStr">
        <is>
          <t>3% падёж</t>
        </is>
      </c>
    </row>
    <row r="9" ht="15" customHeight="1" s="59">
      <c r="A9" s="84" t="inlineStr">
        <is>
          <t>ИТОГО МЯСО ПТИЦЫ</t>
        </is>
      </c>
      <c r="B9" s="85" t="n"/>
      <c r="C9" s="85" t="n"/>
      <c r="D9" s="85" t="n"/>
      <c r="E9" s="85" t="n"/>
      <c r="F9" s="85" t="n"/>
      <c r="G9" s="86">
        <f>SUM(G4:G8)</f>
        <v/>
      </c>
      <c r="H9" s="85" t="n"/>
    </row>
    <row r="11" ht="15" customHeight="1" s="59">
      <c r="A11" s="72" t="inlineStr">
        <is>
          <t>ЯЙЦО</t>
        </is>
      </c>
    </row>
    <row r="12" ht="26.25" customHeight="1" s="59">
      <c r="A12" s="73" t="inlineStr">
        <is>
          <t>Продукт</t>
        </is>
      </c>
      <c r="B12" s="73" t="inlineStr">
        <is>
          <t>Несушек, гол.</t>
        </is>
      </c>
      <c r="C12" s="73" t="inlineStr">
        <is>
          <t>Яиц на несушку/год</t>
        </is>
      </c>
      <c r="D12" s="73" t="inlineStr">
        <is>
          <t>—</t>
        </is>
      </c>
      <c r="E12" s="73" t="inlineStr">
        <is>
          <t>—</t>
        </is>
      </c>
      <c r="F12" s="73" t="inlineStr">
        <is>
          <t>—</t>
        </is>
      </c>
      <c r="G12" s="73" t="inlineStr">
        <is>
          <t>Яиц, млн шт./год</t>
        </is>
      </c>
      <c r="H12" s="73" t="n"/>
    </row>
    <row r="13" ht="15" customHeight="1" s="59">
      <c r="A13" s="74" t="inlineStr">
        <is>
          <t>Куриное яйцо (Hisex/Lohmann)</t>
        </is>
      </c>
      <c r="B13" s="78" t="n">
        <v>480000</v>
      </c>
      <c r="C13" s="78" t="n">
        <v>320</v>
      </c>
      <c r="D13" s="75" t="n"/>
      <c r="E13" s="75" t="n"/>
      <c r="F13" s="75" t="n"/>
      <c r="G13" s="87">
        <f>B13*C13/1000000</f>
        <v/>
      </c>
      <c r="H13" s="75" t="n"/>
    </row>
    <row r="14" ht="15" customHeight="1" s="59">
      <c r="A14" s="74" t="inlineStr">
        <is>
          <t>Перепелиное яйцо (−90%)</t>
        </is>
      </c>
      <c r="B14" s="78" t="n">
        <v>25000</v>
      </c>
      <c r="C14" s="78" t="n">
        <v>280</v>
      </c>
      <c r="D14" s="75" t="n"/>
      <c r="E14" s="75" t="n"/>
      <c r="F14" s="75" t="n"/>
      <c r="G14" s="87">
        <f>B14*C14/1000000</f>
        <v/>
      </c>
      <c r="H14" s="75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F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52" customWidth="1" style="58" min="1" max="1"/>
    <col width="12" customWidth="1" style="58" min="2" max="2"/>
    <col width="8" customWidth="1" style="58" min="3" max="3"/>
    <col width="12" customWidth="1" style="58" min="4" max="4"/>
    <col width="18" customWidth="1" style="58" min="5" max="5"/>
    <col width="10" customWidth="1" style="58" min="6" max="6"/>
  </cols>
  <sheetData>
    <row r="1" ht="15.75" customHeight="1" s="59">
      <c r="A1" s="69" t="inlineStr">
        <is>
          <t>ВЫРУЧКА ПРИ ПОЛНОЙ МОЩНОСТИ</t>
        </is>
      </c>
    </row>
    <row r="3" ht="26.25" customHeight="1" s="59">
      <c r="A3" s="73" t="inlineStr">
        <is>
          <t>Направление</t>
        </is>
      </c>
      <c r="B3" s="73" t="inlineStr">
        <is>
          <t>Объём</t>
        </is>
      </c>
      <c r="C3" s="73" t="inlineStr">
        <is>
          <t>Ед.</t>
        </is>
      </c>
      <c r="D3" s="73" t="inlineStr">
        <is>
          <t>Цена, ₽/ед.</t>
        </is>
      </c>
      <c r="E3" s="73" t="inlineStr">
        <is>
          <t>Выручка, млн ₽/год</t>
        </is>
      </c>
      <c r="F3" s="73" t="inlineStr">
        <is>
          <t>Доля</t>
        </is>
      </c>
    </row>
    <row r="4" ht="15" customHeight="1" s="59">
      <c r="A4" s="74" t="inlineStr">
        <is>
          <t>Бройлер (мясо)</t>
        </is>
      </c>
      <c r="B4" s="88">
        <f>Продукция!G4</f>
        <v/>
      </c>
      <c r="C4" s="75" t="inlineStr">
        <is>
          <t>т</t>
        </is>
      </c>
      <c r="D4" s="88">
        <f>Допущения!$C$7</f>
        <v/>
      </c>
      <c r="E4" s="89">
        <f>B4*D4*1000/1000000</f>
        <v/>
      </c>
      <c r="F4" s="90">
        <f>E4/Выручка!$E$12</f>
        <v/>
      </c>
    </row>
    <row r="5" ht="15" customHeight="1" s="59">
      <c r="A5" s="74" t="inlineStr">
        <is>
          <t>Индейка (мясо)</t>
        </is>
      </c>
      <c r="B5" s="88">
        <f>Продукция!G5</f>
        <v/>
      </c>
      <c r="C5" s="75" t="inlineStr">
        <is>
          <t>т</t>
        </is>
      </c>
      <c r="D5" s="88">
        <f>Допущения!$C$8</f>
        <v/>
      </c>
      <c r="E5" s="89">
        <f>B5*D5*1000/1000000</f>
        <v/>
      </c>
      <c r="F5" s="90">
        <f>E5/Выручка!$E$12</f>
        <v/>
      </c>
    </row>
    <row r="6" ht="15" customHeight="1" s="59">
      <c r="A6" s="74" t="inlineStr">
        <is>
          <t>Утка (мясо)</t>
        </is>
      </c>
      <c r="B6" s="88">
        <f>Продукция!G6</f>
        <v/>
      </c>
      <c r="C6" s="75" t="inlineStr">
        <is>
          <t>т</t>
        </is>
      </c>
      <c r="D6" s="88">
        <f>Допущения!$C$9</f>
        <v/>
      </c>
      <c r="E6" s="89">
        <f>B6*D6*1000/1000000</f>
        <v/>
      </c>
      <c r="F6" s="90">
        <f>E6/Выручка!$E$12</f>
        <v/>
      </c>
    </row>
    <row r="7" ht="15" customHeight="1" s="59">
      <c r="A7" s="74" t="inlineStr">
        <is>
          <t>Гусь (мясо)</t>
        </is>
      </c>
      <c r="B7" s="88">
        <f>Продукция!G7</f>
        <v/>
      </c>
      <c r="C7" s="75" t="inlineStr">
        <is>
          <t>т</t>
        </is>
      </c>
      <c r="D7" s="88">
        <f>Допущения!$C$10</f>
        <v/>
      </c>
      <c r="E7" s="89">
        <f>B7*D7*1000/1000000</f>
        <v/>
      </c>
      <c r="F7" s="90">
        <f>E7/Выручка!$E$12</f>
        <v/>
      </c>
    </row>
    <row r="8" ht="15" customHeight="1" s="59">
      <c r="A8" s="74" t="inlineStr">
        <is>
          <t>Перепёл (мясо)</t>
        </is>
      </c>
      <c r="B8" s="88">
        <f>Продукция!G8</f>
        <v/>
      </c>
      <c r="C8" s="75" t="inlineStr">
        <is>
          <t>т</t>
        </is>
      </c>
      <c r="D8" s="88">
        <f>Допущения!$C$11</f>
        <v/>
      </c>
      <c r="E8" s="89">
        <f>B8*D8*1000/1000000</f>
        <v/>
      </c>
      <c r="F8" s="90">
        <f>E8/Выручка!$E$12</f>
        <v/>
      </c>
    </row>
    <row r="9" ht="15" customHeight="1" s="59">
      <c r="A9" s="74" t="inlineStr">
        <is>
          <t>Куриное яйцо</t>
        </is>
      </c>
      <c r="B9" s="88">
        <f>Продукция!$G$13</f>
        <v/>
      </c>
      <c r="C9" s="75" t="inlineStr">
        <is>
          <t>млн шт</t>
        </is>
      </c>
      <c r="D9" s="88">
        <f>Допущения!$C$12</f>
        <v/>
      </c>
      <c r="E9" s="89">
        <f>B9*D9*1000000/1000000</f>
        <v/>
      </c>
      <c r="F9" s="90">
        <f>E9/Выручка!$E$12</f>
        <v/>
      </c>
    </row>
    <row r="10" ht="15" customHeight="1" s="59">
      <c r="A10" s="74" t="inlineStr">
        <is>
          <t>Перепелиное яйцо</t>
        </is>
      </c>
      <c r="B10" s="88">
        <f>Продукция!$G$14</f>
        <v/>
      </c>
      <c r="C10" s="75" t="inlineStr">
        <is>
          <t>млн шт</t>
        </is>
      </c>
      <c r="D10" s="88">
        <f>Допущения!$C$13</f>
        <v/>
      </c>
      <c r="E10" s="89">
        <f>B10*D10*1000000/1000000</f>
        <v/>
      </c>
      <c r="F10" s="90">
        <f>E10/Выручка!$E$12</f>
        <v/>
      </c>
    </row>
    <row r="11" ht="15" customHeight="1" s="59">
      <c r="A11" s="91" t="inlineStr">
        <is>
          <t>Побочная продукция (перьевая/кровяная мука, жир)</t>
        </is>
      </c>
      <c r="B11" s="92" t="n"/>
      <c r="C11" s="92" t="n"/>
      <c r="D11" s="92" t="n"/>
      <c r="E11" s="93" t="n">
        <v>25</v>
      </c>
      <c r="F11" s="94">
        <f>E11/Выручка!$E$13</f>
        <v/>
      </c>
    </row>
    <row r="12" ht="15" customHeight="1" s="59">
      <c r="A12" t="inlineStr">
        <is>
          <t>Удобрение из помёта (43 800 т/год × 12 ₽/кг, этalon кроликов tab#205)</t>
        </is>
      </c>
      <c r="B12" t="n">
        <v>43800</v>
      </c>
      <c r="C12" t="inlineStr">
        <is>
          <t>т</t>
        </is>
      </c>
      <c r="D12" t="n">
        <v>12</v>
      </c>
      <c r="E12">
        <f>B12*D12*1000/1000000</f>
        <v/>
      </c>
      <c r="F12">
        <f>E12/Выручка!$E$13</f>
        <v/>
      </c>
    </row>
    <row r="13">
      <c r="A13" s="84" t="inlineStr">
        <is>
          <t>ИТОГО ВЫРУЧКА</t>
        </is>
      </c>
      <c r="B13" s="85" t="n"/>
      <c r="C13" s="85" t="n"/>
      <c r="D13" s="85" t="n"/>
      <c r="E13" s="95">
        <f>SUM(E4:E12)</f>
        <v/>
      </c>
      <c r="F13" s="96">
        <f>SUM(F4:F12)</f>
        <v/>
      </c>
    </row>
    <row r="14" ht="15" customHeight="1" s="59">
      <c r="E14">
        <f>(E4+E9+E10)/Выручка!$E$13</f>
        <v/>
      </c>
    </row>
    <row r="15">
      <c r="A15" s="97" t="inlineStr">
        <is>
          <t>Справочно: доля «бройлер + яйцо» в выручке</t>
        </is>
      </c>
      <c r="E15" s="98">
        <f>(E4+E9+E10)/Выручка!$E$12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E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4" customWidth="1" style="58" min="1" max="1"/>
    <col width="26" customWidth="1" style="58" min="2" max="2"/>
    <col width="20" customWidth="1" style="58" min="3" max="3"/>
    <col width="16" customWidth="1" style="58" min="4" max="4"/>
    <col width="12" customWidth="1" style="58" min="5" max="5"/>
  </cols>
  <sheetData>
    <row r="1" ht="15.75" customHeight="1" s="59">
      <c r="A1" s="69" t="inlineStr">
        <is>
          <t>БАЛАНС КОМБИКОРМОВ</t>
        </is>
      </c>
    </row>
    <row r="2" ht="15" customHeight="1" s="59">
      <c r="A2" s="70" t="inlineStr">
        <is>
          <t>Корм производится на комбикормовом заводе холдинга (мощность ~300 тыс. т/год). Потребность птицеводства — доля от завода.</t>
        </is>
      </c>
    </row>
    <row r="4" ht="26.25" customHeight="1" s="59">
      <c r="A4" s="73" t="inlineStr">
        <is>
          <t>Группа</t>
        </is>
      </c>
      <c r="B4" s="73" t="inlineStr">
        <is>
          <t>Посажено/содержится, гол./год</t>
        </is>
      </c>
      <c r="C4" s="73" t="inlineStr">
        <is>
          <t>Расход корма, кг/гол.</t>
        </is>
      </c>
      <c r="D4" s="73" t="inlineStr">
        <is>
          <t>Корма, т/год</t>
        </is>
      </c>
      <c r="E4" s="73" t="inlineStr">
        <is>
          <t>% от итога</t>
        </is>
      </c>
    </row>
    <row r="5" ht="15" customHeight="1" s="59">
      <c r="A5" s="74" t="inlineStr">
        <is>
          <t>Бройлер</t>
        </is>
      </c>
      <c r="B5" s="78" t="n">
        <v>9360000</v>
      </c>
      <c r="C5" s="99" t="n">
        <v>4.5</v>
      </c>
      <c r="D5" s="82">
        <f>B5*C5/1000</f>
        <v/>
      </c>
      <c r="E5" s="100">
        <f>D5/Корма!$D$12</f>
        <v/>
      </c>
    </row>
    <row r="6" ht="15" customHeight="1" s="59">
      <c r="A6" s="74" t="inlineStr">
        <is>
          <t>Индейка</t>
        </is>
      </c>
      <c r="B6" s="78" t="n">
        <v>60000</v>
      </c>
      <c r="C6" s="99" t="n">
        <v>39</v>
      </c>
      <c r="D6" s="82">
        <f>B6*C6/1000</f>
        <v/>
      </c>
      <c r="E6" s="100">
        <f>D6/Корма!$D$12</f>
        <v/>
      </c>
    </row>
    <row r="7" ht="15" customHeight="1" s="59">
      <c r="A7" s="74" t="inlineStr">
        <is>
          <t>Утка</t>
        </is>
      </c>
      <c r="B7" s="78" t="n">
        <v>100000</v>
      </c>
      <c r="C7" s="99" t="n">
        <v>9.800000000000001</v>
      </c>
      <c r="D7" s="82">
        <f>B7*C7/1000</f>
        <v/>
      </c>
      <c r="E7" s="100">
        <f>D7/Корма!$D$12</f>
        <v/>
      </c>
    </row>
    <row r="8" ht="15" customHeight="1" s="59">
      <c r="A8" s="74" t="inlineStr">
        <is>
          <t>Гусь</t>
        </is>
      </c>
      <c r="B8" s="78" t="n">
        <v>4800</v>
      </c>
      <c r="C8" s="99" t="n">
        <v>19.2</v>
      </c>
      <c r="D8" s="82">
        <f>B8*C8/1000</f>
        <v/>
      </c>
      <c r="E8" s="100">
        <f>D8/Корма!$D$12</f>
        <v/>
      </c>
    </row>
    <row r="9" ht="15" customHeight="1" s="59">
      <c r="A9" s="74" t="inlineStr">
        <is>
          <t>Перепёл мясной</t>
        </is>
      </c>
      <c r="B9" s="78" t="n">
        <v>1050000</v>
      </c>
      <c r="C9" s="99" t="n">
        <v>0.78</v>
      </c>
      <c r="D9" s="82">
        <f>B9*C9/1000</f>
        <v/>
      </c>
      <c r="E9" s="100">
        <f>D9/Корма!$D$12</f>
        <v/>
      </c>
    </row>
    <row r="10" ht="15" customHeight="1" s="59">
      <c r="A10" s="74" t="inlineStr">
        <is>
          <t>Куры-несушки</t>
        </is>
      </c>
      <c r="B10" s="78" t="n">
        <v>480000</v>
      </c>
      <c r="C10" s="99" t="n">
        <v>42</v>
      </c>
      <c r="D10" s="82">
        <f>B10*C10/1000</f>
        <v/>
      </c>
      <c r="E10" s="100">
        <f>D10/Корма!$D$12</f>
        <v/>
      </c>
    </row>
    <row r="11" ht="15" customHeight="1" s="59">
      <c r="A11" s="74" t="inlineStr">
        <is>
          <t>Перепелиные несушки</t>
        </is>
      </c>
      <c r="B11" s="78" t="n">
        <v>25000</v>
      </c>
      <c r="C11" s="99" t="n">
        <v>8.029999999999999</v>
      </c>
      <c r="D11" s="82">
        <f>B11*C11/1000</f>
        <v/>
      </c>
      <c r="E11" s="100">
        <f>D11/Корма!$D$12</f>
        <v/>
      </c>
    </row>
    <row r="12" ht="15" customHeight="1" s="59">
      <c r="A12" s="84" t="inlineStr">
        <is>
          <t>ИТОГО КОРМА</t>
        </is>
      </c>
      <c r="B12" s="85" t="n"/>
      <c r="C12" s="85" t="n"/>
      <c r="D12" s="86">
        <f>SUM(D5:D11)</f>
        <v/>
      </c>
      <c r="E12" s="85" t="n"/>
    </row>
    <row r="14" ht="15" customHeight="1" s="59">
      <c r="A14" s="72" t="inlineStr">
        <is>
          <t>Затраты на корма, млн ₽/год</t>
        </is>
      </c>
      <c r="D14" s="101">
        <f>Корма!$D$12*Допущения!$C$14/1000000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E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8" customWidth="1" style="58" min="1" max="1"/>
    <col width="10" customWidth="1" style="58" min="2" max="2"/>
    <col width="16" customWidth="1" style="58" min="3" max="3"/>
    <col width="14" customWidth="1" style="58" min="4" max="4"/>
    <col width="18" customWidth="1" style="58" min="5" max="5"/>
  </cols>
  <sheetData>
    <row r="1" ht="15.75" customHeight="1" s="59">
      <c r="A1" s="69" t="inlineStr">
        <is>
          <t>КАПИТАЛЬНЫЕ ЗАТРАТЫ (CAPEX) — 12 000 млн ₽</t>
        </is>
      </c>
    </row>
    <row r="3" ht="26.25" customHeight="1" s="59">
      <c r="A3" s="73" t="inlineStr">
        <is>
          <t>Объект / статья</t>
        </is>
      </c>
      <c r="B3" s="73" t="inlineStr">
        <is>
          <t>Кол-во, ед.</t>
        </is>
      </c>
      <c r="C3" s="73" t="inlineStr">
        <is>
          <t>Стоимость ед., млн ₽</t>
        </is>
      </c>
      <c r="D3" s="73" t="inlineStr">
        <is>
          <t>Сумма, млн ₽</t>
        </is>
      </c>
      <c r="E3" s="73" t="inlineStr">
        <is>
          <t>Группа</t>
        </is>
      </c>
    </row>
    <row r="4" ht="15" customHeight="1" s="59">
      <c r="A4" s="74" t="inlineStr">
        <is>
          <t>Бройлерные птичники (18 000 гол., 2 000 м²)</t>
        </is>
      </c>
      <c r="B4" s="102" t="n">
        <v>80</v>
      </c>
      <c r="C4" s="103" t="n">
        <v>25</v>
      </c>
      <c r="D4" s="82">
        <f>B4*C4</f>
        <v/>
      </c>
      <c r="E4" s="104" t="inlineStr">
        <is>
          <t>Бройлер+яйцо</t>
        </is>
      </c>
    </row>
    <row r="5" ht="15" customHeight="1" s="59">
      <c r="A5" s="74" t="inlineStr">
        <is>
          <t>Птичники кур-несушек (80 000 гол., клеточные)</t>
        </is>
      </c>
      <c r="B5" s="102" t="n">
        <v>6</v>
      </c>
      <c r="C5" s="103" t="n">
        <v>60</v>
      </c>
      <c r="D5" s="82">
        <f>B5*C5</f>
        <v/>
      </c>
      <c r="E5" s="104" t="inlineStr">
        <is>
          <t>Бройлер+яйцо</t>
        </is>
      </c>
    </row>
    <row r="6" ht="15" customHeight="1" s="59">
      <c r="A6" s="74" t="inlineStr">
        <is>
          <t>Цех сортировки и упаковки яйца</t>
        </is>
      </c>
      <c r="B6" s="102" t="n">
        <v>1</v>
      </c>
      <c r="C6" s="103" t="n">
        <v>45</v>
      </c>
      <c r="D6" s="82">
        <f>B6*C6</f>
        <v/>
      </c>
      <c r="E6" s="104" t="inlineStr">
        <is>
          <t>Бройлер+яйцо</t>
        </is>
      </c>
    </row>
    <row r="7" ht="15" customHeight="1" s="59">
      <c r="A7" s="74" t="inlineStr">
        <is>
          <t>Индюшиные птичники (2 500 гол.)</t>
        </is>
      </c>
      <c r="B7" s="102" t="n">
        <v>12</v>
      </c>
      <c r="C7" s="103" t="n">
        <v>35</v>
      </c>
      <c r="D7" s="82">
        <f>B7*C7</f>
        <v/>
      </c>
      <c r="E7" s="104" t="inlineStr">
        <is>
          <t>Прочие виды</t>
        </is>
      </c>
    </row>
    <row r="8" ht="15" customHeight="1" s="59">
      <c r="A8" s="74" t="inlineStr">
        <is>
          <t>Утиные птичники (2 000 гол.)</t>
        </is>
      </c>
      <c r="B8" s="102" t="n">
        <v>10</v>
      </c>
      <c r="C8" s="103" t="n">
        <v>22</v>
      </c>
      <c r="D8" s="82">
        <f>B8*C8</f>
        <v/>
      </c>
      <c r="E8" s="104" t="inlineStr">
        <is>
          <t>Прочие виды</t>
        </is>
      </c>
    </row>
    <row r="9" ht="15" customHeight="1" s="59">
      <c r="A9" s="74" t="inlineStr">
        <is>
          <t>Гусиные птичники (400 гол.)</t>
        </is>
      </c>
      <c r="B9" s="102" t="n">
        <v>6</v>
      </c>
      <c r="C9" s="103" t="n">
        <v>15</v>
      </c>
      <c r="D9" s="82">
        <f>B9*C9</f>
        <v/>
      </c>
      <c r="E9" s="104" t="inlineStr">
        <is>
          <t>Прочие виды</t>
        </is>
      </c>
    </row>
    <row r="10" ht="15" customHeight="1" s="59">
      <c r="A10" s="74" t="inlineStr">
        <is>
          <t>Перепелиные модули мясные (50 000 гол.)</t>
        </is>
      </c>
      <c r="B10" s="102" t="n">
        <v>3</v>
      </c>
      <c r="C10" s="103" t="n">
        <v>90</v>
      </c>
      <c r="D10" s="82">
        <f>B10*C10</f>
        <v/>
      </c>
      <c r="E10" s="104" t="inlineStr">
        <is>
          <t>Прочие виды</t>
        </is>
      </c>
    </row>
    <row r="11" ht="15" customHeight="1" s="59">
      <c r="A11" s="74" t="inlineStr">
        <is>
          <t>Перепелиные несушки (25 000 гол., ½ модуля)</t>
        </is>
      </c>
      <c r="B11" s="102" t="n">
        <v>1</v>
      </c>
      <c r="C11" s="103" t="n">
        <v>45</v>
      </c>
      <c r="D11" s="82">
        <f>B11*C11</f>
        <v/>
      </c>
      <c r="E11" s="104" t="inlineStr">
        <is>
          <t>Прочие виды</t>
        </is>
      </c>
    </row>
    <row r="12" ht="15" customHeight="1" s="59">
      <c r="A12" s="74" t="inlineStr">
        <is>
          <t>Инкубаторий (500 000 яиц/нед.)</t>
        </is>
      </c>
      <c r="B12" s="102" t="n">
        <v>1</v>
      </c>
      <c r="C12" s="103" t="n">
        <v>600</v>
      </c>
      <c r="D12" s="82">
        <f>B12*C12</f>
        <v/>
      </c>
      <c r="E12" s="104" t="inlineStr">
        <is>
          <t>Общая инфраструктура</t>
        </is>
      </c>
    </row>
    <row r="13" ht="15" customHeight="1" s="59">
      <c r="A13" s="74" t="inlineStr">
        <is>
          <t>Убойно-перерабатывающий комплекс</t>
        </is>
      </c>
      <c r="B13" s="102" t="n">
        <v>1</v>
      </c>
      <c r="C13" s="103" t="n">
        <v>2600</v>
      </c>
      <c r="D13" s="82">
        <f>B13*C13</f>
        <v/>
      </c>
      <c r="E13" s="104" t="inlineStr">
        <is>
          <t>Общая инфраструктура</t>
        </is>
      </c>
    </row>
    <row r="14" ht="15" customHeight="1" s="59">
      <c r="A14" s="74" t="inlineStr">
        <is>
          <t>Холодильный склад (4 000 т)</t>
        </is>
      </c>
      <c r="B14" s="102" t="n">
        <v>1</v>
      </c>
      <c r="C14" s="103" t="n">
        <v>800</v>
      </c>
      <c r="D14" s="82">
        <f>B14*C14</f>
        <v/>
      </c>
      <c r="E14" s="104" t="inlineStr">
        <is>
          <t>Общая инфраструктура</t>
        </is>
      </c>
    </row>
    <row r="15" ht="15" customHeight="1" s="59">
      <c r="A15" s="74" t="inlineStr">
        <is>
          <t>Склады кормов и приёмка (силосы)</t>
        </is>
      </c>
      <c r="B15" s="102" t="n">
        <v>1</v>
      </c>
      <c r="C15" s="103" t="n">
        <v>450</v>
      </c>
      <c r="D15" s="82">
        <f>B15*C15</f>
        <v/>
      </c>
      <c r="E15" s="104" t="inlineStr">
        <is>
          <t>Общая инфраструктура</t>
        </is>
      </c>
    </row>
    <row r="16" ht="15" customHeight="1" s="59">
      <c r="A16" s="74" t="inlineStr">
        <is>
          <t>Солнечные панели 10 МВт·ч (эталон кроликов, tab#23 docx)</t>
        </is>
      </c>
      <c r="B16" s="102" t="n">
        <v>1</v>
      </c>
      <c r="C16" s="103" t="n">
        <v>1180.8</v>
      </c>
      <c r="D16" s="82" t="n">
        <v>1180.8</v>
      </c>
      <c r="E16" s="104" t="inlineStr">
        <is>
          <t>Общая инфраструктура</t>
        </is>
      </c>
    </row>
    <row r="17" ht="15" customHeight="1" s="59">
      <c r="A17" t="inlineStr">
        <is>
          <t>Установка компостирования помёта 5 т/ч (эталон кроликов)</t>
        </is>
      </c>
      <c r="B17" t="n">
        <v>1</v>
      </c>
      <c r="C17" t="n">
        <v>36</v>
      </c>
      <c r="D17" t="n">
        <v>36</v>
      </c>
      <c r="E17" t="inlineStr">
        <is>
          <t>Общая инфраструктура</t>
        </is>
      </c>
    </row>
    <row r="18" ht="15" customHeight="1" s="59">
      <c r="A18" s="74" t="inlineStr">
        <is>
          <t>Инженерные сети, ЛЭП, подстанция</t>
        </is>
      </c>
      <c r="B18" s="102" t="n">
        <v>1</v>
      </c>
      <c r="C18" s="103" t="n">
        <v>1000</v>
      </c>
      <c r="D18" s="82">
        <f>B17*C17</f>
        <v/>
      </c>
      <c r="E18" s="104" t="inlineStr">
        <is>
          <t>Общая инфраструктура</t>
        </is>
      </c>
    </row>
    <row r="19" ht="15" customHeight="1" s="59">
      <c r="A19" s="74" t="inlineStr">
        <is>
          <t>Водоснабжение, скважины, очистные</t>
        </is>
      </c>
      <c r="B19" s="102" t="n">
        <v>1</v>
      </c>
      <c r="C19" s="103" t="n">
        <v>300</v>
      </c>
      <c r="D19" s="82">
        <f>B18*C18</f>
        <v/>
      </c>
      <c r="E19" s="104" t="inlineStr">
        <is>
          <t>Общая инфраструктура</t>
        </is>
      </c>
    </row>
    <row r="20" ht="15" customHeight="1" s="59">
      <c r="A20" s="74" t="inlineStr">
        <is>
          <t>Дороги, благоустройство, ограждение</t>
        </is>
      </c>
      <c r="B20" s="102" t="n">
        <v>1</v>
      </c>
      <c r="C20" s="103" t="n">
        <v>250</v>
      </c>
      <c r="D20" s="82">
        <f>B19*C19</f>
        <v/>
      </c>
      <c r="E20" s="104" t="inlineStr">
        <is>
          <t>Общая инфраструктура</t>
        </is>
      </c>
    </row>
    <row r="21" ht="15" customHeight="1" s="59">
      <c r="A21" s="74" t="inlineStr">
        <is>
          <t>Ветблок, лаборатория, АБК, противопожарная</t>
        </is>
      </c>
      <c r="B21" s="102" t="n">
        <v>1</v>
      </c>
      <c r="C21" s="103" t="n">
        <v>450</v>
      </c>
      <c r="D21" s="82">
        <f>B20*C20</f>
        <v/>
      </c>
      <c r="E21" s="104" t="inlineStr">
        <is>
          <t>Общая инфраструктура</t>
        </is>
      </c>
    </row>
    <row r="22" ht="15" customHeight="1" s="59">
      <c r="A22" s="74" t="inlineStr">
        <is>
          <t>Родительское стадо и стартовый молодняк</t>
        </is>
      </c>
      <c r="B22" s="102" t="n">
        <v>1</v>
      </c>
      <c r="C22" s="103" t="n">
        <v>450</v>
      </c>
      <c r="D22" s="82">
        <f>B21*C21</f>
        <v/>
      </c>
      <c r="E22" s="104" t="inlineStr">
        <is>
          <t>Общая инфраструктура</t>
        </is>
      </c>
    </row>
    <row r="23" ht="15" customHeight="1" s="59">
      <c r="A23" s="74" t="inlineStr">
        <is>
          <t>Спецтехника, SCADA, IT</t>
        </is>
      </c>
      <c r="B23" s="102" t="n">
        <v>1</v>
      </c>
      <c r="C23" s="103" t="n">
        <v>350</v>
      </c>
      <c r="D23" s="82">
        <f>B22*C22</f>
        <v/>
      </c>
      <c r="E23" s="104" t="inlineStr">
        <is>
          <t>Общая инфраструктура</t>
        </is>
      </c>
    </row>
    <row r="24" ht="15" customHeight="1" s="59">
      <c r="A24" s="74" t="inlineStr">
        <is>
          <t>Проектирование, изыскания, пусконаладка</t>
        </is>
      </c>
      <c r="B24" s="102" t="n">
        <v>1</v>
      </c>
      <c r="C24" s="103" t="n">
        <v>450</v>
      </c>
      <c r="D24" s="82">
        <f>B23*C23</f>
        <v/>
      </c>
      <c r="E24" s="104" t="inlineStr">
        <is>
          <t>Общая инфраструктура</t>
        </is>
      </c>
    </row>
    <row r="25" ht="15" customHeight="1" s="59">
      <c r="A25" s="74" t="inlineStr">
        <is>
          <t>Резерв (непредвиденные)</t>
        </is>
      </c>
      <c r="B25" s="102" t="n">
        <v>1</v>
      </c>
      <c r="C25" s="103" t="n">
        <v>400</v>
      </c>
      <c r="D25" s="82">
        <f>12000-SUM(D4:D24)</f>
        <v/>
      </c>
      <c r="E25" s="104" t="inlineStr">
        <is>
          <t>Общая инфраструктура</t>
        </is>
      </c>
    </row>
    <row r="26">
      <c r="A26" s="84" t="inlineStr">
        <is>
          <t>ИТОГО CAPEX</t>
        </is>
      </c>
      <c r="B26" s="85" t="n"/>
      <c r="C26" s="85" t="n"/>
      <c r="D26" s="86">
        <f>SUM(D4:D25)</f>
        <v/>
      </c>
      <c r="E26" s="85" t="n"/>
    </row>
    <row r="27" ht="15" customHeight="1" s="59"/>
    <row r="28" ht="15" customHeight="1" s="59">
      <c r="A28" s="105" t="inlineStr">
        <is>
          <t>Бройлер+яйцо (направление)</t>
        </is>
      </c>
      <c r="D28" s="106">
        <f>SUMIF($E$4:$E$24,"Бройлер+яйцо",$D$4:$D$24)</f>
        <v/>
      </c>
    </row>
    <row r="29" ht="15" customHeight="1" s="59">
      <c r="A29" s="105" t="inlineStr">
        <is>
          <t>Прочие виды (направление)</t>
        </is>
      </c>
      <c r="D29" s="106">
        <f>SUMIF($E$4:$E$24,"Прочие виды",$D$4:$D$24)</f>
        <v/>
      </c>
    </row>
    <row r="30" ht="15" customHeight="1" s="59">
      <c r="A30" s="105" t="inlineStr">
        <is>
          <t>Общая инфраструктура</t>
        </is>
      </c>
      <c r="D30" s="106">
        <f>SUMIF($E$4:$E$24,"Общая инфраструктура",$D$4:$D$24)</f>
        <v/>
      </c>
    </row>
    <row r="31">
      <c r="A31" s="97" t="inlineStr">
        <is>
          <t>Доля «бройлер+яйцо» в направлениях (без общей инфр.)</t>
        </is>
      </c>
      <c r="D31" s="98">
        <f>D27/(D27+D28)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D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4" customWidth="1" style="58" min="1" max="1"/>
    <col width="16" customWidth="1" style="58" min="2" max="2"/>
    <col width="10" customWidth="1" style="58" min="3" max="3"/>
    <col width="46" customWidth="1" style="58" min="4" max="4"/>
  </cols>
  <sheetData>
    <row r="1" ht="15.75" customHeight="1" s="59">
      <c r="A1" s="69" t="inlineStr">
        <is>
          <t>ЭКСПЛУАТАЦИОННЫЕ ЗАТРАТЫ (OPEX) ПРИ ПОЛНОЙ МОЩНОСТИ</t>
        </is>
      </c>
    </row>
    <row r="3" ht="26.25" customHeight="1" s="59">
      <c r="A3" s="73" t="inlineStr">
        <is>
          <t>Статья затрат</t>
        </is>
      </c>
      <c r="B3" s="73" t="inlineStr">
        <is>
          <t>Сумма, млн ₽/год</t>
        </is>
      </c>
      <c r="C3" s="73" t="inlineStr">
        <is>
          <t>Доля</t>
        </is>
      </c>
      <c r="D3" s="73" t="inlineStr">
        <is>
          <t>Комментарий</t>
        </is>
      </c>
    </row>
    <row r="4" ht="15" customHeight="1" s="59">
      <c r="A4" s="74" t="inlineStr">
        <is>
          <t>Корма</t>
        </is>
      </c>
      <c r="B4" s="107">
        <f>Корма!$D$14</f>
        <v/>
      </c>
      <c r="C4" s="90">
        <f>B4/OPEX!$B$13</f>
        <v/>
      </c>
      <c r="D4" s="77" t="inlineStr">
        <is>
          <t>66,7 тыс. т × 28 000 ₽/т (собств. завод холдинга)</t>
        </is>
      </c>
    </row>
    <row r="5" ht="26.25" customHeight="1" s="59">
      <c r="A5" s="74" t="inlineStr">
        <is>
          <t>Суточный молодняк, инкуб. яйцо, ремонт стада</t>
        </is>
      </c>
      <c r="B5" s="108" t="n">
        <v>280</v>
      </c>
      <c r="C5" s="90">
        <f>B5/OPEX!$B$13</f>
        <v/>
      </c>
      <c r="D5" s="77" t="inlineStr">
        <is>
          <t>закупка/воспроизводство</t>
        </is>
      </c>
    </row>
    <row r="6" ht="15" customHeight="1" s="59">
      <c r="A6" s="74" t="inlineStr">
        <is>
          <t>ФОТ с отчислениями (страховые ~30%)</t>
        </is>
      </c>
      <c r="B6" s="108" t="n">
        <v>520</v>
      </c>
      <c r="C6" s="90">
        <f>B6/OPEX!$B$13</f>
        <v/>
      </c>
      <c r="D6" s="77" t="inlineStr">
        <is>
          <t>480 раб. мест; см. «Штат»</t>
        </is>
      </c>
    </row>
    <row r="7" ht="15" customHeight="1" s="59">
      <c r="A7" s="74" t="inlineStr">
        <is>
          <t>Ветпрепараты, вакцины, биозащита</t>
        </is>
      </c>
      <c r="B7" s="108" t="n">
        <v>75</v>
      </c>
      <c r="C7" s="90">
        <f>B7/OPEX!$B$13</f>
        <v/>
      </c>
      <c r="D7" s="77" t="n"/>
    </row>
    <row r="8" ht="15" customHeight="1" s="59">
      <c r="A8" s="74" t="inlineStr">
        <is>
          <t>Электроэнергия (покупная) — не применяется</t>
        </is>
      </c>
      <c r="B8" s="108" t="n">
        <v>0</v>
      </c>
      <c r="C8" s="90">
        <f>B8/OPEX!$B$13</f>
        <v/>
      </c>
      <c r="D8" s="77" t="inlineStr">
        <is>
          <t>эталон кроликов: solar 10 МВт·ч + биogaz APK 20 МВт·ч; см. energy-budget.yaml</t>
        </is>
      </c>
    </row>
    <row r="9" ht="15" customHeight="1" s="59">
      <c r="A9" s="74" t="inlineStr">
        <is>
          <t>Упаковка (мясо + яйцо)</t>
        </is>
      </c>
      <c r="B9" s="108" t="n">
        <v>190</v>
      </c>
      <c r="C9" s="90">
        <f>B9/OPEX!$B$13</f>
        <v/>
      </c>
      <c r="D9" s="77" t="n"/>
    </row>
    <row r="10" ht="15" customHeight="1" s="59">
      <c r="A10" s="74" t="inlineStr">
        <is>
          <t>Ремонт и ТО оборудования</t>
        </is>
      </c>
      <c r="B10" s="108" t="n">
        <v>240</v>
      </c>
      <c r="C10" s="90">
        <f>B10/OPEX!$B$13</f>
        <v/>
      </c>
      <c r="D10" s="77" t="inlineStr">
        <is>
          <t>~2% от CAPEX оборудования</t>
        </is>
      </c>
    </row>
    <row r="11" ht="15" customHeight="1" s="59">
      <c r="A11" s="74" t="inlineStr">
        <is>
          <t>Транспорт и логистика</t>
        </is>
      </c>
      <c r="B11" s="108" t="n">
        <v>60</v>
      </c>
      <c r="C11" s="90">
        <f>B11/OPEX!$B$13</f>
        <v/>
      </c>
      <c r="D11" s="77" t="n"/>
    </row>
    <row r="12" ht="15" customHeight="1" s="59">
      <c r="A12" s="74" t="inlineStr">
        <is>
          <t>Общехозяйственные и прочие</t>
        </is>
      </c>
      <c r="B12" s="108" t="n">
        <v>110</v>
      </c>
      <c r="C12" s="90">
        <f>B12/OPEX!$B$13</f>
        <v/>
      </c>
      <c r="D12" s="77" t="n"/>
    </row>
    <row r="13" ht="15" customHeight="1" s="59">
      <c r="A13" s="84" t="inlineStr">
        <is>
          <t>ИТОГО OPEX</t>
        </is>
      </c>
      <c r="B13" s="95">
        <f>SUM(B4:B12)</f>
        <v/>
      </c>
      <c r="C13" s="85" t="n"/>
      <c r="D13" s="85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K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58" min="1" max="1"/>
    <col width="16" customWidth="1" style="58" min="2" max="2"/>
  </cols>
  <sheetData>
    <row r="1" ht="15.75" customHeight="1" s="59">
      <c r="A1" s="69" t="inlineStr">
        <is>
          <t>ЭКОНОМИКА И ОКУПАЕМОСТЬ</t>
        </is>
      </c>
    </row>
    <row r="3" ht="15" customHeight="1" s="59">
      <c r="A3" s="73" t="inlineStr">
        <is>
          <t>Показатель (полная мощность)</t>
        </is>
      </c>
      <c r="B3" s="73" t="inlineStr">
        <is>
          <t>Значение</t>
        </is>
      </c>
    </row>
    <row r="4" ht="15" customHeight="1" s="59">
      <c r="A4" s="74" t="inlineStr">
        <is>
          <t>CAPEX, млн ₽</t>
        </is>
      </c>
      <c r="B4" s="109">
        <f>CAPEX!$D$25</f>
        <v/>
      </c>
    </row>
    <row r="5" ht="15" customHeight="1" s="59">
      <c r="A5" s="74" t="inlineStr">
        <is>
          <t>Выручка, млн ₽/год</t>
        </is>
      </c>
      <c r="B5" s="110">
        <f>Выручка!$E$12</f>
        <v/>
      </c>
    </row>
    <row r="6" ht="15" customHeight="1" s="59">
      <c r="A6" s="74" t="inlineStr">
        <is>
          <t>OPEX, млн ₽/год</t>
        </is>
      </c>
      <c r="B6" s="110">
        <f>OPEX!$B$13</f>
        <v/>
      </c>
    </row>
    <row r="7" ht="15" customHeight="1" s="59">
      <c r="A7" s="111" t="inlineStr">
        <is>
          <t>EBITDA, млн ₽/год</t>
        </is>
      </c>
      <c r="B7" s="112">
        <f>B5-B6</f>
        <v/>
      </c>
    </row>
    <row r="8" ht="15" customHeight="1" s="59">
      <c r="A8" s="111" t="inlineStr">
        <is>
          <t>Маржа EBITDA</t>
        </is>
      </c>
      <c r="B8" s="113">
        <f>B7/B5</f>
        <v/>
      </c>
    </row>
    <row r="9" ht="15" customHeight="1" s="59">
      <c r="A9" s="74" t="inlineStr">
        <is>
          <t>Амортизация (10 лет, линейно), млн ₽/год</t>
        </is>
      </c>
      <c r="B9" s="110">
        <f>B4/10</f>
        <v/>
      </c>
    </row>
    <row r="10" ht="15" customHeight="1" s="59">
      <c r="A10" s="74" t="inlineStr">
        <is>
          <t>Прибыль до налога, млн ₽/год</t>
        </is>
      </c>
      <c r="B10" s="110">
        <f>B7-B9</f>
        <v/>
      </c>
    </row>
    <row r="11" ht="15" customHeight="1" s="59">
      <c r="A11" s="74" t="inlineStr">
        <is>
          <t>Налог ЕСХН 6% от прибыли, млн ₽/год</t>
        </is>
      </c>
      <c r="B11" s="110">
        <f>MAX(B10*0.06,0)</f>
        <v/>
      </c>
    </row>
    <row r="12" ht="15" customHeight="1" s="59">
      <c r="A12" s="74" t="inlineStr">
        <is>
          <t>Чистая прибыль, млн ₽/год</t>
        </is>
      </c>
      <c r="B12" s="110">
        <f>B10-B11</f>
        <v/>
      </c>
    </row>
    <row r="13" ht="15" customHeight="1" s="59">
      <c r="A13" s="74" t="inlineStr">
        <is>
          <t>Денежный поток (ЧП+аморт.), млн ₽/год</t>
        </is>
      </c>
      <c r="B13" s="110">
        <f>B12+B9</f>
        <v/>
      </c>
    </row>
    <row r="14" ht="15" customHeight="1" s="59">
      <c r="A14" s="74" t="inlineStr">
        <is>
          <t>Простая окупаемость (CAPEX/EBITDA), лет</t>
        </is>
      </c>
      <c r="B14" s="114">
        <f>B4/B7</f>
        <v/>
      </c>
    </row>
    <row r="15" ht="15" customHeight="1" s="59">
      <c r="A15" s="74" t="inlineStr">
        <is>
          <t>Окупаемость по ден. потоку, лет</t>
        </is>
      </c>
      <c r="B15" s="114">
        <f>B4/B13</f>
        <v/>
      </c>
    </row>
    <row r="16" ht="26.25" customHeight="1" s="59">
      <c r="A16" s="111" t="inlineStr">
        <is>
          <t>Рентабельность инвестиций (EBITDA/CAPEX)</t>
        </is>
      </c>
      <c r="B16" s="113">
        <f>B7/B4</f>
        <v/>
      </c>
    </row>
    <row r="20" ht="15" customHeight="1" s="59">
      <c r="A20" s="72" t="inlineStr">
        <is>
          <t>ВЫХОД НА МОЩНОСТЬ (10 ЛЕТ)</t>
        </is>
      </c>
    </row>
    <row r="21" ht="15" customHeight="1" s="59">
      <c r="A21" s="73" t="inlineStr">
        <is>
          <t>Год</t>
        </is>
      </c>
      <c r="B21" s="73" t="inlineStr">
        <is>
          <t>2026</t>
        </is>
      </c>
      <c r="C21" s="73" t="inlineStr">
        <is>
          <t>2027</t>
        </is>
      </c>
      <c r="D21" s="73" t="inlineStr">
        <is>
          <t>2028</t>
        </is>
      </c>
      <c r="E21" s="73" t="inlineStr">
        <is>
          <t>2029</t>
        </is>
      </c>
      <c r="F21" s="73" t="inlineStr">
        <is>
          <t>2030</t>
        </is>
      </c>
      <c r="G21" s="73" t="inlineStr">
        <is>
          <t>2031</t>
        </is>
      </c>
      <c r="H21" s="73" t="inlineStr">
        <is>
          <t>2032</t>
        </is>
      </c>
      <c r="I21" s="73" t="inlineStr">
        <is>
          <t>2033</t>
        </is>
      </c>
      <c r="J21" s="73" t="inlineStr">
        <is>
          <t>2034</t>
        </is>
      </c>
      <c r="K21" s="73" t="inlineStr">
        <is>
          <t>2035</t>
        </is>
      </c>
    </row>
    <row r="22" ht="15" customHeight="1" s="59">
      <c r="A22" s="91" t="inlineStr">
        <is>
          <t>Загрузка мощности</t>
        </is>
      </c>
      <c r="B22" s="81" t="n">
        <v>0</v>
      </c>
      <c r="C22" s="81" t="n">
        <v>0.35</v>
      </c>
      <c r="D22" s="81" t="n">
        <v>0.65</v>
      </c>
      <c r="E22" s="81" t="n">
        <v>0.85</v>
      </c>
      <c r="F22" s="81" t="n">
        <v>1</v>
      </c>
      <c r="G22" s="81" t="n">
        <v>1</v>
      </c>
      <c r="H22" s="81" t="n">
        <v>1</v>
      </c>
      <c r="I22" s="81" t="n">
        <v>1</v>
      </c>
      <c r="J22" s="81" t="n">
        <v>1</v>
      </c>
      <c r="K22" s="81" t="n">
        <v>1</v>
      </c>
    </row>
    <row r="23" ht="15" customHeight="1" s="59">
      <c r="A23" s="91" t="inlineStr">
        <is>
          <t>Выручка, млн ₽</t>
        </is>
      </c>
      <c r="B23" s="82">
        <f>B22*Выручка!$E$12</f>
        <v/>
      </c>
      <c r="C23" s="82">
        <f>C22*Выручка!$E$12</f>
        <v/>
      </c>
      <c r="D23" s="82">
        <f>D22*Выручка!$E$12</f>
        <v/>
      </c>
      <c r="E23" s="82">
        <f>E22*Выручка!$E$12</f>
        <v/>
      </c>
      <c r="F23" s="82">
        <f>F22*Выручка!$E$12</f>
        <v/>
      </c>
      <c r="G23" s="82">
        <f>G22*Выручка!$E$12</f>
        <v/>
      </c>
      <c r="H23" s="82">
        <f>H22*Выручка!$E$12</f>
        <v/>
      </c>
      <c r="I23" s="82">
        <f>I22*Выручка!$E$12</f>
        <v/>
      </c>
      <c r="J23" s="82">
        <f>J22*Выручка!$E$12</f>
        <v/>
      </c>
      <c r="K23" s="82">
        <f>K22*Выручка!$E$12</f>
        <v/>
      </c>
    </row>
    <row r="24" ht="15" customHeight="1" s="59">
      <c r="A24" s="91" t="inlineStr">
        <is>
          <t>EBITDA, млн ₽</t>
        </is>
      </c>
      <c r="B24" s="82">
        <f>B22*$B$7</f>
        <v/>
      </c>
      <c r="C24" s="82">
        <f>C22*$B$7</f>
        <v/>
      </c>
      <c r="D24" s="82">
        <f>D22*$B$7</f>
        <v/>
      </c>
      <c r="E24" s="82">
        <f>E22*$B$7</f>
        <v/>
      </c>
      <c r="F24" s="82">
        <f>F22*$B$7</f>
        <v/>
      </c>
      <c r="G24" s="82">
        <f>G22*$B$7</f>
        <v/>
      </c>
      <c r="H24" s="82">
        <f>H22*$B$7</f>
        <v/>
      </c>
      <c r="I24" s="82">
        <f>I22*$B$7</f>
        <v/>
      </c>
      <c r="J24" s="82">
        <f>J22*$B$7</f>
        <v/>
      </c>
      <c r="K24" s="82">
        <f>K22*$B$7</f>
        <v/>
      </c>
    </row>
    <row r="25" ht="15" customHeight="1" s="59">
      <c r="A25" s="91" t="inlineStr">
        <is>
          <t>Накопл. EBITDA − CAPEX, млн ₽</t>
        </is>
      </c>
      <c r="B25" s="82">
        <f>B24-CAPEX!$D$25</f>
        <v/>
      </c>
      <c r="C25" s="82">
        <f>B25+C24</f>
        <v/>
      </c>
      <c r="D25" s="82">
        <f>C25+D24</f>
        <v/>
      </c>
      <c r="E25" s="82">
        <f>D25+E24</f>
        <v/>
      </c>
      <c r="F25" s="82">
        <f>E25+F24</f>
        <v/>
      </c>
      <c r="G25" s="82">
        <f>F25+G24</f>
        <v/>
      </c>
      <c r="H25" s="82">
        <f>G25+H24</f>
        <v/>
      </c>
      <c r="I25" s="82">
        <f>H25+I24</f>
        <v/>
      </c>
      <c r="J25" s="82">
        <f>I25+J24</f>
        <v/>
      </c>
      <c r="K25" s="82">
        <f>J25+K24</f>
        <v/>
      </c>
    </row>
    <row r="26" ht="15" customHeight="1" s="59">
      <c r="A26" s="115" t="inlineStr">
        <is>
          <t>Примечание: CAPEX/OPEX/органика синхронизированы с эталоном кроликов (energy-budget.yaml, 1.ТЭО tab#23/#205). Без локального biogaz+ГПU; без покупного электро. ЕСХН 6%.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2026-06-25T05:19:52Z</dcterms:created>
  <dcterms:modified xmlns:dcterms="http://purl.org/dc/terms/" xmlns:xsi="http://www.w3.org/2001/XMLSchema-instance" xsi:type="dcterms:W3CDTF">2026-06-25T16:48:47Z</dcterms:modified>
  <cp:revision>0</cp:revision>
</cp:coreProperties>
</file>