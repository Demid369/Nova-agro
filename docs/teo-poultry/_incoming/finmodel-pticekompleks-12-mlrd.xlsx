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Допущения" sheetId="2" state="visible" r:id="rId4"/>
    <sheet name="Продукция" sheetId="3" state="visible" r:id="rId5"/>
    <sheet name="Выручка" sheetId="4" state="visible" r:id="rId6"/>
    <sheet name="Корма" sheetId="5" state="visible" r:id="rId7"/>
    <sheet name="CAPEX" sheetId="6" state="visible" r:id="rId8"/>
    <sheet name="OPEX" sheetId="7" state="visible" r:id="rId9"/>
    <sheet name="Экономика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<sst xmlns="http://schemas.openxmlformats.org/spreadsheetml/2006/main" count="226" uniqueCount="184">
  <si>
    <t xml:space="preserve">ПТИЦЕКОМПЛЕКС «НОВА-АГРО» — СВОДКА</t>
  </si>
  <si>
    <t xml:space="preserve">Запорожская область · CAPEX 12 000 млн ₽ · направление агрохолдинга · ставка на бройлер + яйцо (~70% направленческого CAPEX)</t>
  </si>
  <si>
    <t xml:space="preserve">Цены и нормативы — актуальные опт. РФ, II кв. 2026 (консервативно)</t>
  </si>
  <si>
    <t xml:space="preserve">КЛЮЧЕВЫЕ ПОКАЗАТЕЛИ</t>
  </si>
  <si>
    <t xml:space="preserve">CAPEX, млн ₽</t>
  </si>
  <si>
    <t xml:space="preserve">Мясо птицы, т/год</t>
  </si>
  <si>
    <t xml:space="preserve">Куриное яйцо, млн шт./год</t>
  </si>
  <si>
    <t xml:space="preserve">Перепелиное яйцо, млн шт./год</t>
  </si>
  <si>
    <t xml:space="preserve">Корма, т/год</t>
  </si>
  <si>
    <t xml:space="preserve">Выручка (полн. мощн.), млн ₽/год</t>
  </si>
  <si>
    <t xml:space="preserve">OPEX (полн. мощн.), млн ₽/год</t>
  </si>
  <si>
    <t xml:space="preserve">EBITDA, млн ₽/год</t>
  </si>
  <si>
    <t xml:space="preserve">Маржа EBITDA</t>
  </si>
  <si>
    <t xml:space="preserve">Простая окупаемость, лет</t>
  </si>
  <si>
    <t xml:space="preserve">Рабочих мест, чел.</t>
  </si>
  <si>
    <t xml:space="preserve">Единовременное поголовье, гол.</t>
  </si>
  <si>
    <t xml:space="preserve">Птичников/модулей, шт.</t>
  </si>
  <si>
    <t xml:space="preserve">Подробности — на листах: Продукция, Выручка, Корма, CAPEX, OPEX, Экономика, Допущения.</t>
  </si>
  <si>
    <t xml:space="preserve">ПТИЦЕКОМПЛЕКС «НОВА-АГРО» — КЛЮЧЕВЫЕ ДОПУЩЕНИЯ И ЦЕНЫ</t>
  </si>
  <si>
    <t xml:space="preserve">Запорожская область | CAPEX 12 000 млн ₽ | горизонт 10 лет | старт 01.09.2026 | режим ЕСХН 6%</t>
  </si>
  <si>
    <t xml:space="preserve">Цены — оптовые, РФ, II кв. 2026 (консервативно). Синим — вводные параметры.</t>
  </si>
  <si>
    <t xml:space="preserve">ЦЕНЫ РЕАЛИЗАЦИИ И КОРМА</t>
  </si>
  <si>
    <t xml:space="preserve">Параметр</t>
  </si>
  <si>
    <t xml:space="preserve">Ед.</t>
  </si>
  <si>
    <t xml:space="preserve">Значение</t>
  </si>
  <si>
    <t xml:space="preserve">Источник / комментарий</t>
  </si>
  <si>
    <t xml:space="preserve">Цена бройлера (тушка+разделка, халяль)</t>
  </si>
  <si>
    <t xml:space="preserve">₽/кг</t>
  </si>
  <si>
    <t xml:space="preserve">опт тушка ~200 ₽/кг + разделка; Росптицесоюз/Kommersant, июнь 2026</t>
  </si>
  <si>
    <t xml:space="preserve">Цена индейки (тушка+разделка)</t>
  </si>
  <si>
    <t xml:space="preserve">тушка ~335, филе 485-525; meatinfo, 2026</t>
  </si>
  <si>
    <t xml:space="preserve">Цена утки (тушка охл.)</t>
  </si>
  <si>
    <t xml:space="preserve">тушка 309-350; meatinfo, 2026</t>
  </si>
  <si>
    <t xml:space="preserve">Цена гуся (тушка)</t>
  </si>
  <si>
    <t xml:space="preserve">тушка 500-620 (консервативно); meatinfo, 2026</t>
  </si>
  <si>
    <t xml:space="preserve">Цена перепела (тушка)</t>
  </si>
  <si>
    <t xml:space="preserve">опт 380-430 + премиум; meatinfo, 2026</t>
  </si>
  <si>
    <t xml:space="preserve">Цена куриного яйца</t>
  </si>
  <si>
    <t xml:space="preserve">₽/шт</t>
  </si>
  <si>
    <t xml:space="preserve">≈70 ₽/дес.; опт 77-85 ₽/дес. без НДС, рынок волатилен (профицит)</t>
  </si>
  <si>
    <t xml:space="preserve">Цена перепелиного яйца</t>
  </si>
  <si>
    <t xml:space="preserve">опт 3-3,5 ₽/шт; meatinfo, 2026</t>
  </si>
  <si>
    <t xml:space="preserve">Себестоимость комбикорма (собств. завод)</t>
  </si>
  <si>
    <t xml:space="preserve">₽/т</t>
  </si>
  <si>
    <t xml:space="preserve">корм птицы ~28 тыс ₽/т (2025), собств. производство холдинга</t>
  </si>
  <si>
    <t xml:space="preserve">ПОГОЛОВЬЕ, ЦИКЛЫ И ВЫХОД ПРОДУКЦИИ</t>
  </si>
  <si>
    <t xml:space="preserve">Вид / продукт</t>
  </si>
  <si>
    <t xml:space="preserve">Единоврем. поголовье, гол.</t>
  </si>
  <si>
    <t xml:space="preserve">Оборотов/год</t>
  </si>
  <si>
    <t xml:space="preserve">Голов на убой/год</t>
  </si>
  <si>
    <t xml:space="preserve">Жив. масса, кг</t>
  </si>
  <si>
    <t xml:space="preserve">Убойный выход</t>
  </si>
  <si>
    <t xml:space="preserve">Мясо, т/год</t>
  </si>
  <si>
    <t xml:space="preserve">Падёж учтён</t>
  </si>
  <si>
    <t xml:space="preserve">Бройлер ROSS 308</t>
  </si>
  <si>
    <t xml:space="preserve">3% падёж</t>
  </si>
  <si>
    <t xml:space="preserve">Индейка BUT Big 6</t>
  </si>
  <si>
    <t xml:space="preserve">4% падёж</t>
  </si>
  <si>
    <t xml:space="preserve">Утка Cherry Valley</t>
  </si>
  <si>
    <t xml:space="preserve">Гусь Линдовская</t>
  </si>
  <si>
    <t xml:space="preserve">5% падёж</t>
  </si>
  <si>
    <t xml:space="preserve">Перепёл Фараон (мясо)</t>
  </si>
  <si>
    <t xml:space="preserve">ИТОГО МЯСО ПТИЦЫ</t>
  </si>
  <si>
    <t xml:space="preserve">ЯЙЦО</t>
  </si>
  <si>
    <t xml:space="preserve">Продукт</t>
  </si>
  <si>
    <t xml:space="preserve">Несушек, гол.</t>
  </si>
  <si>
    <t xml:space="preserve">Яиц на несушку/год</t>
  </si>
  <si>
    <t xml:space="preserve">—</t>
  </si>
  <si>
    <t xml:space="preserve">Яиц, млн шт./год</t>
  </si>
  <si>
    <t xml:space="preserve">Куриное яйцо (Hisex/Lohmann)</t>
  </si>
  <si>
    <t xml:space="preserve">Перепелиное яйцо (−90%)</t>
  </si>
  <si>
    <t xml:space="preserve">ВЫРУЧКА ПРИ ПОЛНОЙ МОЩНОСТИ</t>
  </si>
  <si>
    <t xml:space="preserve">Направление</t>
  </si>
  <si>
    <t xml:space="preserve">Объём</t>
  </si>
  <si>
    <t xml:space="preserve">Цена, ₽/ед.</t>
  </si>
  <si>
    <t xml:space="preserve">Выручка, млн ₽/год</t>
  </si>
  <si>
    <t xml:space="preserve">Доля</t>
  </si>
  <si>
    <t xml:space="preserve">Бройлер (мясо)</t>
  </si>
  <si>
    <t xml:space="preserve">т</t>
  </si>
  <si>
    <t xml:space="preserve">Индейка (мясо)</t>
  </si>
  <si>
    <t xml:space="preserve">Утка (мясо)</t>
  </si>
  <si>
    <t xml:space="preserve">Гусь (мясо)</t>
  </si>
  <si>
    <t xml:space="preserve">Перепёл (мясо)</t>
  </si>
  <si>
    <t xml:space="preserve">Куриное яйцо</t>
  </si>
  <si>
    <t xml:space="preserve">млн шт</t>
  </si>
  <si>
    <t xml:space="preserve">Перепелиное яйцо</t>
  </si>
  <si>
    <t xml:space="preserve">Побочная продукция (мука перьевая/кровяная, жир, биоудобрения)</t>
  </si>
  <si>
    <t xml:space="preserve">ИТОГО ВЫРУЧКА</t>
  </si>
  <si>
    <t xml:space="preserve">Справочно: доля «бройлер + яйцо» в выручке</t>
  </si>
  <si>
    <t xml:space="preserve">БАЛАНС КОМБИКОРМОВ</t>
  </si>
  <si>
    <t xml:space="preserve">Корм производится на комбикормовом заводе холдинга (мощность ~300 тыс. т/год). Потребность птицеводства — доля от завода.</t>
  </si>
  <si>
    <t xml:space="preserve">Группа</t>
  </si>
  <si>
    <t xml:space="preserve">Посажено/содержится, гол./год</t>
  </si>
  <si>
    <t xml:space="preserve">Расход корма, кг/гол.</t>
  </si>
  <si>
    <t xml:space="preserve">% от итога</t>
  </si>
  <si>
    <t xml:space="preserve">Бройлер</t>
  </si>
  <si>
    <t xml:space="preserve">Индейка</t>
  </si>
  <si>
    <t xml:space="preserve">Утка</t>
  </si>
  <si>
    <t xml:space="preserve">Гусь</t>
  </si>
  <si>
    <t xml:space="preserve">Перепёл мясной</t>
  </si>
  <si>
    <t xml:space="preserve">Куры-несушки</t>
  </si>
  <si>
    <t xml:space="preserve">Перепелиные несушки</t>
  </si>
  <si>
    <t xml:space="preserve">ИТОГО КОРМА</t>
  </si>
  <si>
    <t xml:space="preserve">Затраты на корма, млн ₽/год</t>
  </si>
  <si>
    <t xml:space="preserve">КАПИТАЛЬНЫЕ ЗАТРАТЫ (CAPEX) — 12 000 млн ₽</t>
  </si>
  <si>
    <t xml:space="preserve">Объект / статья</t>
  </si>
  <si>
    <t xml:space="preserve">Кол-во, ед.</t>
  </si>
  <si>
    <t xml:space="preserve">Стоимость ед., млн ₽</t>
  </si>
  <si>
    <t xml:space="preserve">Сумма, млн ₽</t>
  </si>
  <si>
    <t xml:space="preserve">Бройлерные птичники (18 000 гол., 2 000 м²)</t>
  </si>
  <si>
    <t xml:space="preserve">Бройлер+яйцо</t>
  </si>
  <si>
    <t xml:space="preserve">Птичники кур-несушек (80 000 гол., клеточные)</t>
  </si>
  <si>
    <t xml:space="preserve">Цех сортировки и упаковки яйца</t>
  </si>
  <si>
    <t xml:space="preserve">Индюшиные птичники (2 500 гол.)</t>
  </si>
  <si>
    <t xml:space="preserve">Прочие виды</t>
  </si>
  <si>
    <t xml:space="preserve">Утиные птичники (2 000 гол.)</t>
  </si>
  <si>
    <t xml:space="preserve">Гусиные птичники (400 гол.)</t>
  </si>
  <si>
    <t xml:space="preserve">Перепелиные модули мясные (50 000 гол.)</t>
  </si>
  <si>
    <t xml:space="preserve">Перепелиные несушки (25 000 гол., ½ модуля)</t>
  </si>
  <si>
    <t xml:space="preserve">Инкубаторий (500 000 яиц/нед.)</t>
  </si>
  <si>
    <t xml:space="preserve">Общая инфраструктура</t>
  </si>
  <si>
    <t xml:space="preserve">Убойно-перерабатывающий комплекс</t>
  </si>
  <si>
    <t xml:space="preserve">Холодильный склад (4 000 т)</t>
  </si>
  <si>
    <t xml:space="preserve">Склады кормов и приёмка (силосы)</t>
  </si>
  <si>
    <t xml:space="preserve">Энергетика (биогаз, газопоршневые установки)</t>
  </si>
  <si>
    <t xml:space="preserve">Инженерные сети, ЛЭП, подстанция</t>
  </si>
  <si>
    <t xml:space="preserve">Водоснабжение, скважины, очистные</t>
  </si>
  <si>
    <t xml:space="preserve">Дороги, благоустройство, ограждение</t>
  </si>
  <si>
    <t xml:space="preserve">Ветблок, лаборатория, АБК, противопожарная</t>
  </si>
  <si>
    <t xml:space="preserve">Родительское стадо и стартовый молодняк</t>
  </si>
  <si>
    <t xml:space="preserve">Спецтехника, SCADA, IT</t>
  </si>
  <si>
    <t xml:space="preserve">Проектирование, изыскания, пусконаладка</t>
  </si>
  <si>
    <t xml:space="preserve">Резерв (непредвиденные)</t>
  </si>
  <si>
    <t xml:space="preserve">ИТОГО CAPEX</t>
  </si>
  <si>
    <t xml:space="preserve">Бройлер+яйцо (направление)</t>
  </si>
  <si>
    <t xml:space="preserve">Прочие виды (направление)</t>
  </si>
  <si>
    <t xml:space="preserve">Доля «бройлер+яйцо» в направлениях (без общей инфр.)</t>
  </si>
  <si>
    <t xml:space="preserve">ЭКСПЛУАТАЦИОННЫЕ ЗАТРАТЫ (OPEX) ПРИ ПОЛНОЙ МОЩНОСТИ</t>
  </si>
  <si>
    <t xml:space="preserve">Статья затрат</t>
  </si>
  <si>
    <t xml:space="preserve">Сумма, млн ₽/год</t>
  </si>
  <si>
    <t xml:space="preserve">Комментарий</t>
  </si>
  <si>
    <t xml:space="preserve">Корма</t>
  </si>
  <si>
    <t xml:space="preserve">66,7 тыс. т × 28 000 ₽/т (собств. завод холдинга)</t>
  </si>
  <si>
    <t xml:space="preserve">Суточный молодняк, инкуб. яйцо, ремонт стада</t>
  </si>
  <si>
    <t xml:space="preserve">закупка/воспроизводство</t>
  </si>
  <si>
    <t xml:space="preserve">ФОТ с отчислениями (страховые ~30%)</t>
  </si>
  <si>
    <t xml:space="preserve">480 раб. мест; см. «Штат»</t>
  </si>
  <si>
    <t xml:space="preserve">Ветпрепараты, вакцины, биозащита</t>
  </si>
  <si>
    <t xml:space="preserve">Электроэнергия (покупная)</t>
  </si>
  <si>
    <t xml:space="preserve">за вычетом собств. биогаз-генерации</t>
  </si>
  <si>
    <t xml:space="preserve">Упаковка (мясо + яйцо)</t>
  </si>
  <si>
    <t xml:space="preserve">Ремонт и ТО оборудования</t>
  </si>
  <si>
    <t xml:space="preserve">~2% от CAPEX оборудования</t>
  </si>
  <si>
    <t xml:space="preserve">Транспорт и логистика</t>
  </si>
  <si>
    <t xml:space="preserve">Общехозяйственные и прочие</t>
  </si>
  <si>
    <t xml:space="preserve">ИТОГО OPEX</t>
  </si>
  <si>
    <t xml:space="preserve">ЭКОНОМИКА И ОКУПАЕМОСТЬ</t>
  </si>
  <si>
    <t xml:space="preserve">Показатель (полная мощность)</t>
  </si>
  <si>
    <t xml:space="preserve">OPEX, млн ₽/год</t>
  </si>
  <si>
    <t xml:space="preserve">Амортизация (10 лет, линейно), млн ₽/год</t>
  </si>
  <si>
    <t xml:space="preserve">Прибыль до налога, млн ₽/год</t>
  </si>
  <si>
    <t xml:space="preserve">Налог ЕСХН 6% от прибыли, млн ₽/год</t>
  </si>
  <si>
    <t xml:space="preserve">Чистая прибыль, млн ₽/год</t>
  </si>
  <si>
    <t xml:space="preserve">Денежный поток (ЧП+аморт.), млн ₽/год</t>
  </si>
  <si>
    <t xml:space="preserve">Простая окупаемость (CAPEX/EBITDA), лет</t>
  </si>
  <si>
    <t xml:space="preserve">Окупаемость по ден. потоку, лет</t>
  </si>
  <si>
    <t xml:space="preserve">Рентабельность инвестиций (EBITDA/CAPEX)</t>
  </si>
  <si>
    <t xml:space="preserve">ВЫХОД НА МОЩНОСТЬ (10 ЛЕТ)</t>
  </si>
  <si>
    <t xml:space="preserve">Год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</si>
  <si>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</si>
  <si>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</si>
  <si>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</si>
  <si>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</si>
  <si>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</si>
  <si>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</si>
  <si>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</si>
  <si>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</si>
  <si>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</si>
  <si>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</si>
  <si>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Загрузка мощности</t>
  </si>
  <si>
    <t xml:space="preserve">Выручка, млн ₽</t>
  </si>
  <si>
    <t xml:space="preserve">EBITDA, млн ₽</t>
  </si>
  <si>
    <t xml:space="preserve">Накопл. EBITDA − CAPEX, млн ₽</t>
  </si>
  <si>
    <t xml:space="preserve">Примечание: расчёт укрупнённый, до обслуживания долга; ставка ЕСХН 6%. Цены — консервативные опт. РФ, II кв. 2026.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</si>
</sst>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0.0%"/>
    <numFmt numFmtId="168" formatCode="0.0"/>
    <numFmt numFmtId="169" formatCode="0.00"/>
    <numFmt numFmtId="170" formatCode="#,##0;\(#,##0\);\-"/>
    <numFmt numFmtId="171" formatCode="#,##0.0;\(#,##0.0\);\-"/>
    <numFmt numFmtId="172" formatCode="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2E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8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  <font>
      <sz val="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2E"/>
        <bgColor rgb="FF333300"/>
      </patternFill>
    </fill>
    <fill>
      <patternFill patternType="solid">
        <fgColor rgb="FFFFF2CC"/>
        <bgColor rgb="FFFFFFFF"/>
      </patternFill>
    </fill>
    <fill>
      <patternFill patternType="solid">
        <fgColor rgb="FFD9E5DC"/>
        <bgColor rgb="FFCC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4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5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5"/>
    </row>
    <row r="6" customFormat="false" ht="15" hidden="false" customHeight="true" outlineLevel="0" collapsed="false">
      <c r="A6" s="6" t="s">
        <v>4</v>
      </c>
      <c r="B6" s="7" t="n">
        <f aca="false">Экономика!B4</f>
        <v>12000</v>
      </c>
    </row>
    <row r="7" customFormat="false" ht="15" hidden="false" customHeight="true" outlineLevel="0" collapsed="false">
      <c r="A7" s="6" t="s">
        <v>5</v>
      </c>
      <c r="B7" s="7" t="n">
        <f aca="false">Продукция!G9</f>
        <v>18168.7452</v>
      </c>
    </row>
    <row r="8" customFormat="false" ht="15" hidden="false" customHeight="true" outlineLevel="0" collapsed="false">
      <c r="A8" s="6" t="s">
        <v>6</v>
      </c>
      <c r="B8" s="8" t="n">
        <f aca="false">Продукция!G13</f>
        <v>153.6</v>
      </c>
    </row>
    <row r="9" customFormat="false" ht="15" hidden="false" customHeight="true" outlineLevel="0" collapsed="false">
      <c r="A9" s="6" t="s">
        <v>7</v>
      </c>
      <c r="B9" s="8" t="n">
        <f aca="false">Продукция!G14</f>
        <v>7</v>
      </c>
    </row>
    <row r="10" customFormat="false" ht="15" hidden="false" customHeight="true" outlineLevel="0" collapsed="false">
      <c r="A10" s="6" t="s">
        <v>8</v>
      </c>
      <c r="B10" s="7" t="n">
        <f aca="false">Корма!D12</f>
        <v>66711.91</v>
      </c>
    </row>
    <row r="11" customFormat="false" ht="15" hidden="false" customHeight="true" outlineLevel="0" collapsed="false">
      <c r="A11" s="6" t="s">
        <v>9</v>
      </c>
      <c r="B11" s="8" t="n">
        <f aca="false">Выручка!E12</f>
        <v>5033.556016</v>
      </c>
    </row>
    <row r="12" customFormat="false" ht="15" hidden="false" customHeight="true" outlineLevel="0" collapsed="false">
      <c r="A12" s="6" t="s">
        <v>10</v>
      </c>
      <c r="B12" s="8" t="n">
        <f aca="false">OPEX!B13</f>
        <v>3592.93348</v>
      </c>
    </row>
    <row r="13" customFormat="false" ht="15" hidden="false" customHeight="true" outlineLevel="0" collapsed="false">
      <c r="A13" s="6" t="s">
        <v>11</v>
      </c>
      <c r="B13" s="8" t="n">
        <f aca="false">Экономика!B7</f>
        <v>1440.622536</v>
      </c>
    </row>
    <row r="14" customFormat="false" ht="15" hidden="false" customHeight="true" outlineLevel="0" collapsed="false">
      <c r="A14" s="6" t="s">
        <v>12</v>
      </c>
      <c r="B14" s="9" t="n">
        <f aca="false">Экономика!B8</f>
        <v>0.286203735772631</v>
      </c>
    </row>
    <row r="15" customFormat="false" ht="15" hidden="false" customHeight="true" outlineLevel="0" collapsed="false">
      <c r="A15" s="6" t="s">
        <v>13</v>
      </c>
      <c r="B15" s="10" t="n">
        <f aca="false">Экономика!B14</f>
        <v>8.32973225125224</v>
      </c>
    </row>
    <row r="16" customFormat="false" ht="15" hidden="false" customHeight="true" outlineLevel="0" collapsed="false">
      <c r="A16" s="6" t="s">
        <v>14</v>
      </c>
      <c r="B16" s="7" t="n">
        <v>480</v>
      </c>
    </row>
    <row r="17" customFormat="false" ht="15" hidden="false" customHeight="true" outlineLevel="0" collapsed="false">
      <c r="A17" s="6" t="s">
        <v>15</v>
      </c>
      <c r="B17" s="7" t="n">
        <v>2147400</v>
      </c>
    </row>
    <row r="18" customFormat="false" ht="15" hidden="false" customHeight="true" outlineLevel="0" collapsed="false">
      <c r="A18" s="6" t="s">
        <v>16</v>
      </c>
      <c r="B18" s="7" t="n">
        <v>118</v>
      </c>
    </row>
    <row r="20" customFormat="false" ht="15" hidden="false" customHeight="true" outlineLevel="0" collapsed="false">
      <c r="A20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60"/>
  </cols>
  <sheetData>
    <row r="1" customFormat="false" ht="15.75" hidden="false" customHeight="true" outlineLevel="0" collapsed="false">
      <c r="A1" s="11" t="s">
        <v>18</v>
      </c>
    </row>
    <row r="2" customFormat="false" ht="15" hidden="false" customHeight="true" outlineLevel="0" collapsed="false">
      <c r="A2" s="12" t="s">
        <v>19</v>
      </c>
    </row>
    <row r="3" customFormat="false" ht="15" hidden="false" customHeight="true" outlineLevel="0" collapsed="false">
      <c r="A3" s="13" t="s">
        <v>20</v>
      </c>
    </row>
    <row r="5" customFormat="false" ht="15" hidden="false" customHeight="true" outlineLevel="0" collapsed="false">
      <c r="A5" s="14" t="s">
        <v>21</v>
      </c>
    </row>
    <row r="6" customFormat="false" ht="15" hidden="false" customHeight="true" outlineLevel="0" collapsed="false">
      <c r="A6" s="15" t="s">
        <v>22</v>
      </c>
      <c r="B6" s="15" t="s">
        <v>23</v>
      </c>
      <c r="C6" s="15" t="s">
        <v>24</v>
      </c>
      <c r="D6" s="15" t="s">
        <v>25</v>
      </c>
    </row>
    <row r="7" customFormat="false" ht="15" hidden="false" customHeight="true" outlineLevel="0" collapsed="false">
      <c r="A7" s="16" t="s">
        <v>26</v>
      </c>
      <c r="B7" s="17" t="s">
        <v>27</v>
      </c>
      <c r="C7" s="18" t="n">
        <v>205</v>
      </c>
      <c r="D7" s="19" t="s">
        <v>28</v>
      </c>
    </row>
    <row r="8" customFormat="false" ht="15" hidden="false" customHeight="true" outlineLevel="0" collapsed="false">
      <c r="A8" s="16" t="s">
        <v>29</v>
      </c>
      <c r="B8" s="17" t="s">
        <v>27</v>
      </c>
      <c r="C8" s="18" t="n">
        <v>360</v>
      </c>
      <c r="D8" s="19" t="s">
        <v>30</v>
      </c>
    </row>
    <row r="9" customFormat="false" ht="15" hidden="false" customHeight="true" outlineLevel="0" collapsed="false">
      <c r="A9" s="16" t="s">
        <v>31</v>
      </c>
      <c r="B9" s="17" t="s">
        <v>27</v>
      </c>
      <c r="C9" s="18" t="n">
        <v>320</v>
      </c>
      <c r="D9" s="19" t="s">
        <v>32</v>
      </c>
    </row>
    <row r="10" customFormat="false" ht="15" hidden="false" customHeight="true" outlineLevel="0" collapsed="false">
      <c r="A10" s="16" t="s">
        <v>33</v>
      </c>
      <c r="B10" s="17" t="s">
        <v>27</v>
      </c>
      <c r="C10" s="18" t="n">
        <v>480</v>
      </c>
      <c r="D10" s="19" t="s">
        <v>34</v>
      </c>
    </row>
    <row r="11" customFormat="false" ht="15" hidden="false" customHeight="true" outlineLevel="0" collapsed="false">
      <c r="A11" s="16" t="s">
        <v>35</v>
      </c>
      <c r="B11" s="17" t="s">
        <v>27</v>
      </c>
      <c r="C11" s="18" t="n">
        <v>450</v>
      </c>
      <c r="D11" s="19" t="s">
        <v>36</v>
      </c>
    </row>
    <row r="12" customFormat="false" ht="15" hidden="false" customHeight="true" outlineLevel="0" collapsed="false">
      <c r="A12" s="16" t="s">
        <v>37</v>
      </c>
      <c r="B12" s="17" t="s">
        <v>38</v>
      </c>
      <c r="C12" s="18" t="n">
        <v>7</v>
      </c>
      <c r="D12" s="19" t="s">
        <v>39</v>
      </c>
    </row>
    <row r="13" customFormat="false" ht="15" hidden="false" customHeight="true" outlineLevel="0" collapsed="false">
      <c r="A13" s="16" t="s">
        <v>40</v>
      </c>
      <c r="B13" s="17" t="s">
        <v>38</v>
      </c>
      <c r="C13" s="18" t="n">
        <v>3</v>
      </c>
      <c r="D13" s="19" t="s">
        <v>41</v>
      </c>
    </row>
    <row r="14" customFormat="false" ht="26.25" hidden="false" customHeight="true" outlineLevel="0" collapsed="false">
      <c r="A14" s="16" t="s">
        <v>42</v>
      </c>
      <c r="B14" s="17" t="s">
        <v>43</v>
      </c>
      <c r="C14" s="20" t="n">
        <v>28000</v>
      </c>
      <c r="D14" s="19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2"/>
    <col collapsed="false" customWidth="true" hidden="false" outlineLevel="0" max="7" min="7" style="1" width="16"/>
    <col collapsed="false" customWidth="true" hidden="false" outlineLevel="0" max="8" min="8" style="1" width="14"/>
  </cols>
  <sheetData>
    <row r="1" customFormat="false" ht="15.75" hidden="false" customHeight="true" outlineLevel="0" collapsed="false">
      <c r="A1" s="11" t="s">
        <v>45</v>
      </c>
    </row>
    <row r="3" customFormat="false" ht="39" hidden="false" customHeight="true" outlineLevel="0" collapsed="false">
      <c r="A3" s="15" t="s">
        <v>46</v>
      </c>
      <c r="B3" s="15" t="s">
        <v>47</v>
      </c>
      <c r="C3" s="15" t="s">
        <v>48</v>
      </c>
      <c r="D3" s="15" t="s">
        <v>49</v>
      </c>
      <c r="E3" s="15" t="s">
        <v>50</v>
      </c>
      <c r="F3" s="15" t="s">
        <v>51</v>
      </c>
      <c r="G3" s="15" t="s">
        <v>52</v>
      </c>
      <c r="H3" s="15" t="s">
        <v>53</v>
      </c>
    </row>
    <row r="4" customFormat="false" ht="15" hidden="false" customHeight="true" outlineLevel="0" collapsed="false">
      <c r="A4" s="16" t="s">
        <v>54</v>
      </c>
      <c r="B4" s="20" t="n">
        <v>1440000</v>
      </c>
      <c r="C4" s="21" t="n">
        <v>6.5</v>
      </c>
      <c r="D4" s="20" t="n">
        <v>9079200</v>
      </c>
      <c r="E4" s="22" t="n">
        <v>2.5</v>
      </c>
      <c r="F4" s="23" t="n">
        <v>0.75</v>
      </c>
      <c r="G4" s="24" t="n">
        <f aca="false">D4*E4*F4/1000</f>
        <v>17023.5</v>
      </c>
      <c r="H4" s="25" t="s">
        <v>55</v>
      </c>
    </row>
    <row r="5" customFormat="false" ht="15" hidden="false" customHeight="true" outlineLevel="0" collapsed="false">
      <c r="A5" s="16" t="s">
        <v>56</v>
      </c>
      <c r="B5" s="20" t="n">
        <v>30000</v>
      </c>
      <c r="C5" s="21" t="n">
        <v>2</v>
      </c>
      <c r="D5" s="20" t="n">
        <v>57600</v>
      </c>
      <c r="E5" s="22" t="n">
        <v>15</v>
      </c>
      <c r="F5" s="23" t="n">
        <v>0.78</v>
      </c>
      <c r="G5" s="24" t="n">
        <f aca="false">D5*E5*F5/1000</f>
        <v>673.92</v>
      </c>
      <c r="H5" s="25" t="s">
        <v>57</v>
      </c>
    </row>
    <row r="6" customFormat="false" ht="15" hidden="false" customHeight="true" outlineLevel="0" collapsed="false">
      <c r="A6" s="16" t="s">
        <v>58</v>
      </c>
      <c r="B6" s="20" t="n">
        <v>20000</v>
      </c>
      <c r="C6" s="21" t="n">
        <v>5</v>
      </c>
      <c r="D6" s="20" t="n">
        <v>96000</v>
      </c>
      <c r="E6" s="22" t="n">
        <v>3.5</v>
      </c>
      <c r="F6" s="23" t="n">
        <v>0.75</v>
      </c>
      <c r="G6" s="24" t="n">
        <f aca="false">D6*E6*F6/1000</f>
        <v>252</v>
      </c>
      <c r="H6" s="25" t="s">
        <v>57</v>
      </c>
    </row>
    <row r="7" customFormat="false" ht="15" hidden="false" customHeight="true" outlineLevel="0" collapsed="false">
      <c r="A7" s="16" t="s">
        <v>59</v>
      </c>
      <c r="B7" s="20" t="n">
        <v>2400</v>
      </c>
      <c r="C7" s="21" t="n">
        <v>2</v>
      </c>
      <c r="D7" s="20" t="n">
        <v>4560</v>
      </c>
      <c r="E7" s="22" t="n">
        <v>6</v>
      </c>
      <c r="F7" s="23" t="n">
        <v>0.72</v>
      </c>
      <c r="G7" s="24" t="n">
        <f aca="false">D7*E7*F7/1000</f>
        <v>19.6992</v>
      </c>
      <c r="H7" s="25" t="s">
        <v>60</v>
      </c>
    </row>
    <row r="8" customFormat="false" ht="15" hidden="false" customHeight="true" outlineLevel="0" collapsed="false">
      <c r="A8" s="16" t="s">
        <v>61</v>
      </c>
      <c r="B8" s="20" t="n">
        <v>150000</v>
      </c>
      <c r="C8" s="21" t="n">
        <v>7</v>
      </c>
      <c r="D8" s="20" t="n">
        <v>1018500</v>
      </c>
      <c r="E8" s="22" t="n">
        <v>0.28</v>
      </c>
      <c r="F8" s="23" t="n">
        <v>0.7</v>
      </c>
      <c r="G8" s="24" t="n">
        <f aca="false">D8*E8*F8/1000</f>
        <v>199.626</v>
      </c>
      <c r="H8" s="25" t="s">
        <v>55</v>
      </c>
    </row>
    <row r="9" customFormat="false" ht="15" hidden="false" customHeight="true" outlineLevel="0" collapsed="false">
      <c r="A9" s="26" t="s">
        <v>62</v>
      </c>
      <c r="B9" s="27"/>
      <c r="C9" s="27"/>
      <c r="D9" s="27"/>
      <c r="E9" s="27"/>
      <c r="F9" s="27"/>
      <c r="G9" s="28" t="n">
        <f aca="false">SUM(G4:G8)</f>
        <v>18168.7452</v>
      </c>
      <c r="H9" s="27"/>
    </row>
    <row r="11" customFormat="false" ht="15" hidden="false" customHeight="true" outlineLevel="0" collapsed="false">
      <c r="A11" s="14" t="s">
        <v>63</v>
      </c>
    </row>
    <row r="12" customFormat="false" ht="26.25" hidden="false" customHeight="true" outlineLevel="0" collapsed="false">
      <c r="A12" s="15" t="s">
        <v>64</v>
      </c>
      <c r="B12" s="15" t="s">
        <v>65</v>
      </c>
      <c r="C12" s="15" t="s">
        <v>66</v>
      </c>
      <c r="D12" s="15" t="s">
        <v>67</v>
      </c>
      <c r="E12" s="15" t="s">
        <v>67</v>
      </c>
      <c r="F12" s="15" t="s">
        <v>67</v>
      </c>
      <c r="G12" s="15" t="s">
        <v>68</v>
      </c>
      <c r="H12" s="15"/>
    </row>
    <row r="13" customFormat="false" ht="15" hidden="false" customHeight="true" outlineLevel="0" collapsed="false">
      <c r="A13" s="16" t="s">
        <v>69</v>
      </c>
      <c r="B13" s="20" t="n">
        <v>480000</v>
      </c>
      <c r="C13" s="20" t="n">
        <v>320</v>
      </c>
      <c r="D13" s="17"/>
      <c r="E13" s="17"/>
      <c r="F13" s="17"/>
      <c r="G13" s="29" t="n">
        <f aca="false">B13*C13/1000000</f>
        <v>153.6</v>
      </c>
      <c r="H13" s="17"/>
    </row>
    <row r="14" customFormat="false" ht="15" hidden="false" customHeight="true" outlineLevel="0" collapsed="false">
      <c r="A14" s="16" t="s">
        <v>70</v>
      </c>
      <c r="B14" s="20" t="n">
        <v>25000</v>
      </c>
      <c r="C14" s="20" t="n">
        <v>280</v>
      </c>
      <c r="D14" s="17"/>
      <c r="E14" s="17"/>
      <c r="F14" s="17"/>
      <c r="G14" s="29" t="n">
        <f aca="false">B14*C14/1000000</f>
        <v>7</v>
      </c>
      <c r="H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6" min="6" style="1" width="10"/>
  </cols>
  <sheetData>
    <row r="1" customFormat="false" ht="15.75" hidden="false" customHeight="true" outlineLevel="0" collapsed="false">
      <c r="A1" s="11" t="s">
        <v>71</v>
      </c>
    </row>
    <row r="3" customFormat="false" ht="26.25" hidden="false" customHeight="true" outlineLevel="0" collapsed="false">
      <c r="A3" s="15" t="s">
        <v>72</v>
      </c>
      <c r="B3" s="15" t="s">
        <v>73</v>
      </c>
      <c r="C3" s="15" t="s">
        <v>23</v>
      </c>
      <c r="D3" s="15" t="s">
        <v>74</v>
      </c>
      <c r="E3" s="15" t="s">
        <v>75</v>
      </c>
      <c r="F3" s="15" t="s">
        <v>76</v>
      </c>
    </row>
    <row r="4" customFormat="false" ht="15" hidden="false" customHeight="true" outlineLevel="0" collapsed="false">
      <c r="A4" s="16" t="s">
        <v>77</v>
      </c>
      <c r="B4" s="30" t="n">
        <f aca="false">Продукция!G4</f>
        <v>17023.5</v>
      </c>
      <c r="C4" s="17" t="s">
        <v>78</v>
      </c>
      <c r="D4" s="30" t="n">
        <f aca="false">Допущения!$C$7</f>
        <v>205</v>
      </c>
      <c r="E4" s="31" t="n">
        <f aca="false">B4*D4*1000/1000000</f>
        <v>3489.8175</v>
      </c>
      <c r="F4" s="32" t="n">
        <f aca="false">E4/Выручка!$E$12</f>
        <v>0.693310552004792</v>
      </c>
    </row>
    <row r="5" customFormat="false" ht="15" hidden="false" customHeight="true" outlineLevel="0" collapsed="false">
      <c r="A5" s="16" t="s">
        <v>79</v>
      </c>
      <c r="B5" s="30" t="n">
        <f aca="false">Продукция!G5</f>
        <v>673.92</v>
      </c>
      <c r="C5" s="17" t="s">
        <v>78</v>
      </c>
      <c r="D5" s="30" t="n">
        <f aca="false">Допущения!$C$8</f>
        <v>360</v>
      </c>
      <c r="E5" s="31" t="n">
        <f aca="false">B5*D5*1000/1000000</f>
        <v>242.6112</v>
      </c>
      <c r="F5" s="32" t="n">
        <f aca="false">E5/Выручка!$E$12</f>
        <v>0.048198768272136</v>
      </c>
    </row>
    <row r="6" customFormat="false" ht="15" hidden="false" customHeight="true" outlineLevel="0" collapsed="false">
      <c r="A6" s="16" t="s">
        <v>80</v>
      </c>
      <c r="B6" s="30" t="n">
        <f aca="false">Продукция!G6</f>
        <v>252</v>
      </c>
      <c r="C6" s="17" t="s">
        <v>78</v>
      </c>
      <c r="D6" s="30" t="n">
        <f aca="false">Допущения!$C$9</f>
        <v>320</v>
      </c>
      <c r="E6" s="31" t="n">
        <f aca="false">B6*D6*1000/1000000</f>
        <v>80.64</v>
      </c>
      <c r="F6" s="32" t="n">
        <f aca="false">E6/Выручка!$E$12</f>
        <v>0.0160204832813367</v>
      </c>
    </row>
    <row r="7" customFormat="false" ht="15" hidden="false" customHeight="true" outlineLevel="0" collapsed="false">
      <c r="A7" s="16" t="s">
        <v>81</v>
      </c>
      <c r="B7" s="30" t="n">
        <f aca="false">Продукция!G7</f>
        <v>19.6992</v>
      </c>
      <c r="C7" s="17" t="s">
        <v>78</v>
      </c>
      <c r="D7" s="30" t="n">
        <f aca="false">Допущения!$C$10</f>
        <v>480</v>
      </c>
      <c r="E7" s="31" t="n">
        <f aca="false">B7*D7*1000/1000000</f>
        <v>9.455616</v>
      </c>
      <c r="F7" s="32" t="n">
        <f aca="false">E7/Выручка!$E$12</f>
        <v>0.00187851609676017</v>
      </c>
    </row>
    <row r="8" customFormat="false" ht="15" hidden="false" customHeight="true" outlineLevel="0" collapsed="false">
      <c r="A8" s="16" t="s">
        <v>82</v>
      </c>
      <c r="B8" s="30" t="n">
        <f aca="false">Продукция!G8</f>
        <v>199.626</v>
      </c>
      <c r="C8" s="17" t="s">
        <v>78</v>
      </c>
      <c r="D8" s="30" t="n">
        <f aca="false">Допущения!$C$11</f>
        <v>450</v>
      </c>
      <c r="E8" s="31" t="n">
        <f aca="false">B8*D8*1000/1000000</f>
        <v>89.8317</v>
      </c>
      <c r="F8" s="32" t="n">
        <f aca="false">E8/Выручка!$E$12</f>
        <v>0.0178465680553579</v>
      </c>
    </row>
    <row r="9" customFormat="false" ht="15" hidden="false" customHeight="true" outlineLevel="0" collapsed="false">
      <c r="A9" s="16" t="s">
        <v>83</v>
      </c>
      <c r="B9" s="30" t="n">
        <f aca="false">Продукция!$G$13</f>
        <v>153.6</v>
      </c>
      <c r="C9" s="17" t="s">
        <v>84</v>
      </c>
      <c r="D9" s="30" t="n">
        <f aca="false">Допущения!$C$12</f>
        <v>7</v>
      </c>
      <c r="E9" s="31" t="n">
        <f aca="false">B9*D9*1000000/1000000</f>
        <v>1075.2</v>
      </c>
      <c r="F9" s="32" t="n">
        <f aca="false">E9/Выручка!$E$12</f>
        <v>0.213606443751157</v>
      </c>
    </row>
    <row r="10" customFormat="false" ht="15" hidden="false" customHeight="true" outlineLevel="0" collapsed="false">
      <c r="A10" s="16" t="s">
        <v>85</v>
      </c>
      <c r="B10" s="30" t="n">
        <f aca="false">Продукция!$G$14</f>
        <v>7</v>
      </c>
      <c r="C10" s="17" t="s">
        <v>84</v>
      </c>
      <c r="D10" s="30" t="n">
        <f aca="false">Допущения!$C$13</f>
        <v>3</v>
      </c>
      <c r="E10" s="31" t="n">
        <f aca="false">B10*D10*1000000/1000000</f>
        <v>21</v>
      </c>
      <c r="F10" s="32" t="n">
        <f aca="false">E10/Выручка!$E$12</f>
        <v>0.00417200085451478</v>
      </c>
    </row>
    <row r="11" customFormat="false" ht="15" hidden="false" customHeight="true" outlineLevel="0" collapsed="false">
      <c r="A11" s="33" t="s">
        <v>86</v>
      </c>
      <c r="B11" s="34"/>
      <c r="C11" s="34"/>
      <c r="D11" s="34"/>
      <c r="E11" s="35" t="n">
        <v>25</v>
      </c>
      <c r="F11" s="36" t="n">
        <f aca="false">E11/Выручка!$E$12</f>
        <v>0.00496666768394616</v>
      </c>
    </row>
    <row r="12" customFormat="false" ht="15" hidden="false" customHeight="true" outlineLevel="0" collapsed="false">
      <c r="A12" s="26" t="s">
        <v>87</v>
      </c>
      <c r="B12" s="27"/>
      <c r="C12" s="27"/>
      <c r="D12" s="27"/>
      <c r="E12" s="37" t="n">
        <f aca="false">SUM(E4:E11)</f>
        <v>5033.556016</v>
      </c>
      <c r="F12" s="38" t="n">
        <f aca="false">SUM(F4:F11)</f>
        <v>1</v>
      </c>
    </row>
    <row r="14" customFormat="false" ht="15" hidden="false" customHeight="true" outlineLevel="0" collapsed="false">
      <c r="A14" s="39" t="s">
        <v>88</v>
      </c>
      <c r="E14" s="40" t="n">
        <f aca="false">(E4+E9+E10)/Выручка!$E$12</f>
        <v>0.911088996610463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2"/>
  </cols>
  <sheetData>
    <row r="1" customFormat="false" ht="15.75" hidden="false" customHeight="true" outlineLevel="0" collapsed="false">
      <c r="A1" s="11" t="s">
        <v>89</v>
      </c>
    </row>
    <row r="2" customFormat="false" ht="15" hidden="false" customHeight="true" outlineLevel="0" collapsed="false">
      <c r="A2" s="12" t="s">
        <v>90</v>
      </c>
    </row>
    <row r="4" customFormat="false" ht="26.25" hidden="false" customHeight="true" outlineLevel="0" collapsed="false">
      <c r="A4" s="15" t="s">
        <v>91</v>
      </c>
      <c r="B4" s="15" t="s">
        <v>92</v>
      </c>
      <c r="C4" s="15" t="s">
        <v>93</v>
      </c>
      <c r="D4" s="15" t="s">
        <v>8</v>
      </c>
      <c r="E4" s="15" t="s">
        <v>94</v>
      </c>
    </row>
    <row r="5" customFormat="false" ht="15" hidden="false" customHeight="true" outlineLevel="0" collapsed="false">
      <c r="A5" s="16" t="s">
        <v>95</v>
      </c>
      <c r="B5" s="20" t="n">
        <v>9360000</v>
      </c>
      <c r="C5" s="41" t="n">
        <v>4.5</v>
      </c>
      <c r="D5" s="24" t="n">
        <f aca="false">B5*C5/1000</f>
        <v>42120</v>
      </c>
      <c r="E5" s="42" t="n">
        <f aca="false">D5/Корма!$D$12</f>
        <v>0.631371519718143</v>
      </c>
    </row>
    <row r="6" customFormat="false" ht="15" hidden="false" customHeight="true" outlineLevel="0" collapsed="false">
      <c r="A6" s="16" t="s">
        <v>96</v>
      </c>
      <c r="B6" s="20" t="n">
        <v>60000</v>
      </c>
      <c r="C6" s="41" t="n">
        <v>39</v>
      </c>
      <c r="D6" s="24" t="n">
        <f aca="false">B6*C6/1000</f>
        <v>2340</v>
      </c>
      <c r="E6" s="42" t="n">
        <f aca="false">D6/Корма!$D$12</f>
        <v>0.0350761955398969</v>
      </c>
    </row>
    <row r="7" customFormat="false" ht="15" hidden="false" customHeight="true" outlineLevel="0" collapsed="false">
      <c r="A7" s="16" t="s">
        <v>97</v>
      </c>
      <c r="B7" s="20" t="n">
        <v>100000</v>
      </c>
      <c r="C7" s="41" t="n">
        <v>9.8</v>
      </c>
      <c r="D7" s="24" t="n">
        <f aca="false">B7*C7/1000</f>
        <v>980</v>
      </c>
      <c r="E7" s="42" t="n">
        <f aca="false">D7/Корма!$D$12</f>
        <v>0.014690030610726</v>
      </c>
    </row>
    <row r="8" customFormat="false" ht="15" hidden="false" customHeight="true" outlineLevel="0" collapsed="false">
      <c r="A8" s="16" t="s">
        <v>98</v>
      </c>
      <c r="B8" s="20" t="n">
        <v>4800</v>
      </c>
      <c r="C8" s="41" t="n">
        <v>19.2</v>
      </c>
      <c r="D8" s="24" t="n">
        <f aca="false">B8*C8/1000</f>
        <v>92.16</v>
      </c>
      <c r="E8" s="42" t="n">
        <f aca="false">D8/Корма!$D$12</f>
        <v>0.0013814624704944</v>
      </c>
    </row>
    <row r="9" customFormat="false" ht="15" hidden="false" customHeight="true" outlineLevel="0" collapsed="false">
      <c r="A9" s="16" t="s">
        <v>99</v>
      </c>
      <c r="B9" s="20" t="n">
        <v>1050000</v>
      </c>
      <c r="C9" s="41" t="n">
        <v>0.78</v>
      </c>
      <c r="D9" s="24" t="n">
        <f aca="false">B9*C9/1000</f>
        <v>819</v>
      </c>
      <c r="E9" s="42" t="n">
        <f aca="false">D9/Корма!$D$12</f>
        <v>0.0122766684389639</v>
      </c>
    </row>
    <row r="10" customFormat="false" ht="15" hidden="false" customHeight="true" outlineLevel="0" collapsed="false">
      <c r="A10" s="16" t="s">
        <v>100</v>
      </c>
      <c r="B10" s="20" t="n">
        <v>480000</v>
      </c>
      <c r="C10" s="41" t="n">
        <v>42</v>
      </c>
      <c r="D10" s="24" t="n">
        <f aca="false">B10*C10/1000</f>
        <v>20160</v>
      </c>
      <c r="E10" s="42" t="n">
        <f aca="false">D10/Корма!$D$12</f>
        <v>0.30219491542065</v>
      </c>
    </row>
    <row r="11" customFormat="false" ht="15" hidden="false" customHeight="true" outlineLevel="0" collapsed="false">
      <c r="A11" s="16" t="s">
        <v>101</v>
      </c>
      <c r="B11" s="20" t="n">
        <v>25000</v>
      </c>
      <c r="C11" s="41" t="n">
        <v>8.03</v>
      </c>
      <c r="D11" s="24" t="n">
        <f aca="false">B11*C11/1000</f>
        <v>200.75</v>
      </c>
      <c r="E11" s="42" t="n">
        <f aca="false">D11/Корма!$D$12</f>
        <v>0.00300920780112577</v>
      </c>
    </row>
    <row r="12" customFormat="false" ht="15" hidden="false" customHeight="true" outlineLevel="0" collapsed="false">
      <c r="A12" s="26" t="s">
        <v>102</v>
      </c>
      <c r="B12" s="27"/>
      <c r="C12" s="27"/>
      <c r="D12" s="28" t="n">
        <f aca="false">SUM(D5:D11)</f>
        <v>66711.91</v>
      </c>
      <c r="E12" s="27"/>
    </row>
    <row r="14" customFormat="false" ht="15" hidden="false" customHeight="true" outlineLevel="0" collapsed="false">
      <c r="A14" s="14" t="s">
        <v>103</v>
      </c>
      <c r="D14" s="43" t="n">
        <f aca="false">Корма!$D$12*Допущения!$C$14/1000000</f>
        <v>1867.93348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5.75" hidden="false" customHeight="true" outlineLevel="0" collapsed="false">
      <c r="A1" s="11" t="s">
        <v>104</v>
      </c>
    </row>
    <row r="3" customFormat="false" ht="26.25" hidden="false" customHeight="true" outlineLevel="0" collapsed="false">
      <c r="A3" s="15" t="s">
        <v>105</v>
      </c>
      <c r="B3" s="15" t="s">
        <v>106</v>
      </c>
      <c r="C3" s="15" t="s">
        <v>107</v>
      </c>
      <c r="D3" s="15" t="s">
        <v>108</v>
      </c>
      <c r="E3" s="15" t="s">
        <v>91</v>
      </c>
    </row>
    <row r="4" customFormat="false" ht="15" hidden="false" customHeight="true" outlineLevel="0" collapsed="false">
      <c r="A4" s="16" t="s">
        <v>109</v>
      </c>
      <c r="B4" s="44" t="n">
        <v>80</v>
      </c>
      <c r="C4" s="45" t="n">
        <v>25</v>
      </c>
      <c r="D4" s="24" t="n">
        <f aca="false">B4*C4</f>
        <v>2000</v>
      </c>
      <c r="E4" s="46" t="s">
        <v>110</v>
      </c>
    </row>
    <row r="5" customFormat="false" ht="15" hidden="false" customHeight="true" outlineLevel="0" collapsed="false">
      <c r="A5" s="16" t="s">
        <v>111</v>
      </c>
      <c r="B5" s="44" t="n">
        <v>6</v>
      </c>
      <c r="C5" s="45" t="n">
        <v>60</v>
      </c>
      <c r="D5" s="24" t="n">
        <f aca="false">B5*C5</f>
        <v>360</v>
      </c>
      <c r="E5" s="46" t="s">
        <v>110</v>
      </c>
    </row>
    <row r="6" customFormat="false" ht="15" hidden="false" customHeight="true" outlineLevel="0" collapsed="false">
      <c r="A6" s="16" t="s">
        <v>112</v>
      </c>
      <c r="B6" s="44" t="n">
        <v>1</v>
      </c>
      <c r="C6" s="45" t="n">
        <v>45</v>
      </c>
      <c r="D6" s="24" t="n">
        <f aca="false">B6*C6</f>
        <v>45</v>
      </c>
      <c r="E6" s="46" t="s">
        <v>110</v>
      </c>
    </row>
    <row r="7" customFormat="false" ht="15" hidden="false" customHeight="true" outlineLevel="0" collapsed="false">
      <c r="A7" s="16" t="s">
        <v>113</v>
      </c>
      <c r="B7" s="44" t="n">
        <v>12</v>
      </c>
      <c r="C7" s="45" t="n">
        <v>35</v>
      </c>
      <c r="D7" s="24" t="n">
        <f aca="false">B7*C7</f>
        <v>420</v>
      </c>
      <c r="E7" s="46" t="s">
        <v>114</v>
      </c>
    </row>
    <row r="8" customFormat="false" ht="15" hidden="false" customHeight="true" outlineLevel="0" collapsed="false">
      <c r="A8" s="16" t="s">
        <v>115</v>
      </c>
      <c r="B8" s="44" t="n">
        <v>10</v>
      </c>
      <c r="C8" s="45" t="n">
        <v>22</v>
      </c>
      <c r="D8" s="24" t="n">
        <f aca="false">B8*C8</f>
        <v>220</v>
      </c>
      <c r="E8" s="46" t="s">
        <v>114</v>
      </c>
    </row>
    <row r="9" customFormat="false" ht="15" hidden="false" customHeight="true" outlineLevel="0" collapsed="false">
      <c r="A9" s="16" t="s">
        <v>116</v>
      </c>
      <c r="B9" s="44" t="n">
        <v>6</v>
      </c>
      <c r="C9" s="45" t="n">
        <v>15</v>
      </c>
      <c r="D9" s="24" t="n">
        <f aca="false">B9*C9</f>
        <v>90</v>
      </c>
      <c r="E9" s="46" t="s">
        <v>114</v>
      </c>
    </row>
    <row r="10" customFormat="false" ht="15" hidden="false" customHeight="true" outlineLevel="0" collapsed="false">
      <c r="A10" s="16" t="s">
        <v>117</v>
      </c>
      <c r="B10" s="44" t="n">
        <v>3</v>
      </c>
      <c r="C10" s="45" t="n">
        <v>90</v>
      </c>
      <c r="D10" s="24" t="n">
        <f aca="false">B10*C10</f>
        <v>270</v>
      </c>
      <c r="E10" s="46" t="s">
        <v>114</v>
      </c>
    </row>
    <row r="11" customFormat="false" ht="15" hidden="false" customHeight="true" outlineLevel="0" collapsed="false">
      <c r="A11" s="16" t="s">
        <v>118</v>
      </c>
      <c r="B11" s="44" t="n">
        <v>1</v>
      </c>
      <c r="C11" s="45" t="n">
        <v>45</v>
      </c>
      <c r="D11" s="24" t="n">
        <f aca="false">B11*C11</f>
        <v>45</v>
      </c>
      <c r="E11" s="46" t="s">
        <v>114</v>
      </c>
    </row>
    <row r="12" customFormat="false" ht="15" hidden="false" customHeight="true" outlineLevel="0" collapsed="false">
      <c r="A12" s="16" t="s">
        <v>119</v>
      </c>
      <c r="B12" s="44" t="n">
        <v>1</v>
      </c>
      <c r="C12" s="45" t="n">
        <v>600</v>
      </c>
      <c r="D12" s="24" t="n">
        <f aca="false">B12*C12</f>
        <v>600</v>
      </c>
      <c r="E12" s="46" t="s">
        <v>120</v>
      </c>
    </row>
    <row r="13" customFormat="false" ht="15" hidden="false" customHeight="true" outlineLevel="0" collapsed="false">
      <c r="A13" s="16" t="s">
        <v>121</v>
      </c>
      <c r="B13" s="44" t="n">
        <v>1</v>
      </c>
      <c r="C13" s="45" t="n">
        <v>2600</v>
      </c>
      <c r="D13" s="24" t="n">
        <f aca="false">B13*C13</f>
        <v>2600</v>
      </c>
      <c r="E13" s="46" t="s">
        <v>120</v>
      </c>
    </row>
    <row r="14" customFormat="false" ht="15" hidden="false" customHeight="true" outlineLevel="0" collapsed="false">
      <c r="A14" s="16" t="s">
        <v>122</v>
      </c>
      <c r="B14" s="44" t="n">
        <v>1</v>
      </c>
      <c r="C14" s="45" t="n">
        <v>800</v>
      </c>
      <c r="D14" s="24" t="n">
        <f aca="false">B14*C14</f>
        <v>800</v>
      </c>
      <c r="E14" s="46" t="s">
        <v>120</v>
      </c>
    </row>
    <row r="15" customFormat="false" ht="15" hidden="false" customHeight="true" outlineLevel="0" collapsed="false">
      <c r="A15" s="16" t="s">
        <v>123</v>
      </c>
      <c r="B15" s="44" t="n">
        <v>1</v>
      </c>
      <c r="C15" s="45" t="n">
        <v>450</v>
      </c>
      <c r="D15" s="24" t="n">
        <f aca="false">B15*C15</f>
        <v>450</v>
      </c>
      <c r="E15" s="46" t="s">
        <v>120</v>
      </c>
    </row>
    <row r="16" customFormat="false" ht="15" hidden="false" customHeight="true" outlineLevel="0" collapsed="false">
      <c r="A16" s="16" t="s">
        <v>124</v>
      </c>
      <c r="B16" s="44" t="n">
        <v>1</v>
      </c>
      <c r="C16" s="45" t="n">
        <v>450</v>
      </c>
      <c r="D16" s="24" t="n">
        <f aca="false">B16*C16</f>
        <v>450</v>
      </c>
      <c r="E16" s="46" t="s">
        <v>120</v>
      </c>
    </row>
    <row r="17" customFormat="false" ht="15" hidden="false" customHeight="true" outlineLevel="0" collapsed="false">
      <c r="A17" s="16" t="s">
        <v>125</v>
      </c>
      <c r="B17" s="44" t="n">
        <v>1</v>
      </c>
      <c r="C17" s="45" t="n">
        <v>1000</v>
      </c>
      <c r="D17" s="24" t="n">
        <f aca="false">B17*C17</f>
        <v>1000</v>
      </c>
      <c r="E17" s="46" t="s">
        <v>120</v>
      </c>
    </row>
    <row r="18" customFormat="false" ht="15" hidden="false" customHeight="true" outlineLevel="0" collapsed="false">
      <c r="A18" s="16" t="s">
        <v>126</v>
      </c>
      <c r="B18" s="44" t="n">
        <v>1</v>
      </c>
      <c r="C18" s="45" t="n">
        <v>300</v>
      </c>
      <c r="D18" s="24" t="n">
        <f aca="false">B18*C18</f>
        <v>300</v>
      </c>
      <c r="E18" s="46" t="s">
        <v>120</v>
      </c>
    </row>
    <row r="19" customFormat="false" ht="15" hidden="false" customHeight="true" outlineLevel="0" collapsed="false">
      <c r="A19" s="16" t="s">
        <v>127</v>
      </c>
      <c r="B19" s="44" t="n">
        <v>1</v>
      </c>
      <c r="C19" s="45" t="n">
        <v>250</v>
      </c>
      <c r="D19" s="24" t="n">
        <f aca="false">B19*C19</f>
        <v>250</v>
      </c>
      <c r="E19" s="46" t="s">
        <v>120</v>
      </c>
    </row>
    <row r="20" customFormat="false" ht="15" hidden="false" customHeight="true" outlineLevel="0" collapsed="false">
      <c r="A20" s="16" t="s">
        <v>128</v>
      </c>
      <c r="B20" s="44" t="n">
        <v>1</v>
      </c>
      <c r="C20" s="45" t="n">
        <v>450</v>
      </c>
      <c r="D20" s="24" t="n">
        <f aca="false">B20*C20</f>
        <v>450</v>
      </c>
      <c r="E20" s="46" t="s">
        <v>120</v>
      </c>
    </row>
    <row r="21" customFormat="false" ht="15" hidden="false" customHeight="true" outlineLevel="0" collapsed="false">
      <c r="A21" s="16" t="s">
        <v>129</v>
      </c>
      <c r="B21" s="44" t="n">
        <v>1</v>
      </c>
      <c r="C21" s="45" t="n">
        <v>450</v>
      </c>
      <c r="D21" s="24" t="n">
        <f aca="false">B21*C21</f>
        <v>450</v>
      </c>
      <c r="E21" s="46" t="s">
        <v>120</v>
      </c>
    </row>
    <row r="22" customFormat="false" ht="15" hidden="false" customHeight="true" outlineLevel="0" collapsed="false">
      <c r="A22" s="16" t="s">
        <v>130</v>
      </c>
      <c r="B22" s="44" t="n">
        <v>1</v>
      </c>
      <c r="C22" s="45" t="n">
        <v>350</v>
      </c>
      <c r="D22" s="24" t="n">
        <f aca="false">B22*C22</f>
        <v>350</v>
      </c>
      <c r="E22" s="46" t="s">
        <v>120</v>
      </c>
    </row>
    <row r="23" customFormat="false" ht="15" hidden="false" customHeight="true" outlineLevel="0" collapsed="false">
      <c r="A23" s="16" t="s">
        <v>131</v>
      </c>
      <c r="B23" s="44" t="n">
        <v>1</v>
      </c>
      <c r="C23" s="45" t="n">
        <v>450</v>
      </c>
      <c r="D23" s="24" t="n">
        <f aca="false">B23*C23</f>
        <v>450</v>
      </c>
      <c r="E23" s="46" t="s">
        <v>120</v>
      </c>
    </row>
    <row r="24" customFormat="false" ht="15" hidden="false" customHeight="true" outlineLevel="0" collapsed="false">
      <c r="A24" s="16" t="s">
        <v>132</v>
      </c>
      <c r="B24" s="44" t="n">
        <v>1</v>
      </c>
      <c r="C24" s="45" t="n">
        <v>400</v>
      </c>
      <c r="D24" s="24" t="n">
        <f aca="false">B24*C24</f>
        <v>400</v>
      </c>
      <c r="E24" s="46" t="s">
        <v>120</v>
      </c>
    </row>
    <row r="25" customFormat="false" ht="15" hidden="false" customHeight="true" outlineLevel="0" collapsed="false">
      <c r="A25" s="26" t="s">
        <v>133</v>
      </c>
      <c r="B25" s="27"/>
      <c r="C25" s="27"/>
      <c r="D25" s="28" t="n">
        <f aca="false">SUM(D4:D24)</f>
        <v>12000</v>
      </c>
      <c r="E25" s="27"/>
    </row>
    <row r="27" customFormat="false" ht="15" hidden="false" customHeight="true" outlineLevel="0" collapsed="false">
      <c r="A27" s="47" t="s">
        <v>134</v>
      </c>
      <c r="D27" s="48" t="n">
        <f aca="false">SUMIF($E$4:$E$24,"Бройлер+яйцо",$D$4:$D$24)</f>
        <v>2405</v>
      </c>
    </row>
    <row r="28" customFormat="false" ht="15" hidden="false" customHeight="true" outlineLevel="0" collapsed="false">
      <c r="A28" s="47" t="s">
        <v>135</v>
      </c>
      <c r="D28" s="48" t="n">
        <f aca="false">SUMIF($E$4:$E$24,"Прочие виды",$D$4:$D$24)</f>
        <v>1045</v>
      </c>
    </row>
    <row r="29" customFormat="false" ht="15" hidden="false" customHeight="true" outlineLevel="0" collapsed="false">
      <c r="A29" s="47" t="s">
        <v>120</v>
      </c>
      <c r="D29" s="48" t="n">
        <f aca="false">SUMIF($E$4:$E$24,"Общая инфраструктура",$D$4:$D$24)</f>
        <v>8550</v>
      </c>
    </row>
    <row r="30" customFormat="false" ht="15" hidden="false" customHeight="true" outlineLevel="0" collapsed="false">
      <c r="A30" s="39" t="s">
        <v>136</v>
      </c>
      <c r="D30" s="40" t="n">
        <f aca="false">D27/(D27+D28)</f>
        <v>0.697101449275362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11" t="s">
        <v>137</v>
      </c>
    </row>
    <row r="3" customFormat="false" ht="26.25" hidden="false" customHeight="true" outlineLevel="0" collapsed="false">
      <c r="A3" s="15" t="s">
        <v>138</v>
      </c>
      <c r="B3" s="15" t="s">
        <v>139</v>
      </c>
      <c r="C3" s="15" t="s">
        <v>76</v>
      </c>
      <c r="D3" s="15" t="s">
        <v>140</v>
      </c>
    </row>
    <row r="4" customFormat="false" ht="15" hidden="false" customHeight="true" outlineLevel="0" collapsed="false">
      <c r="A4" s="16" t="s">
        <v>141</v>
      </c>
      <c r="B4" s="49" t="n">
        <f aca="false">Корма!$D$14</f>
        <v>1867.93348</v>
      </c>
      <c r="C4" s="32" t="n">
        <f aca="false">B4/OPEX!$B$13</f>
        <v>0.519890916544328</v>
      </c>
      <c r="D4" s="19" t="s">
        <v>142</v>
      </c>
    </row>
    <row r="5" customFormat="false" ht="26.25" hidden="false" customHeight="true" outlineLevel="0" collapsed="false">
      <c r="A5" s="16" t="s">
        <v>143</v>
      </c>
      <c r="B5" s="50" t="n">
        <v>280</v>
      </c>
      <c r="C5" s="32" t="n">
        <f aca="false">B5/OPEX!$B$13</f>
        <v>0.0779307497783121</v>
      </c>
      <c r="D5" s="19" t="s">
        <v>144</v>
      </c>
    </row>
    <row r="6" customFormat="false" ht="15" hidden="false" customHeight="true" outlineLevel="0" collapsed="false">
      <c r="A6" s="16" t="s">
        <v>145</v>
      </c>
      <c r="B6" s="50" t="n">
        <v>520</v>
      </c>
      <c r="C6" s="32" t="n">
        <f aca="false">B6/OPEX!$B$13</f>
        <v>0.14472853530258</v>
      </c>
      <c r="D6" s="19" t="s">
        <v>146</v>
      </c>
    </row>
    <row r="7" customFormat="false" ht="15" hidden="false" customHeight="true" outlineLevel="0" collapsed="false">
      <c r="A7" s="16" t="s">
        <v>147</v>
      </c>
      <c r="B7" s="50" t="n">
        <v>75</v>
      </c>
      <c r="C7" s="32" t="n">
        <f aca="false">B7/OPEX!$B$13</f>
        <v>0.0208743079763336</v>
      </c>
      <c r="D7" s="19"/>
    </row>
    <row r="8" customFormat="false" ht="15" hidden="false" customHeight="true" outlineLevel="0" collapsed="false">
      <c r="A8" s="16" t="s">
        <v>148</v>
      </c>
      <c r="B8" s="50" t="n">
        <v>250</v>
      </c>
      <c r="C8" s="32" t="n">
        <f aca="false">B8/OPEX!$B$13</f>
        <v>0.0695810265877786</v>
      </c>
      <c r="D8" s="19" t="s">
        <v>149</v>
      </c>
    </row>
    <row r="9" customFormat="false" ht="15" hidden="false" customHeight="true" outlineLevel="0" collapsed="false">
      <c r="A9" s="16" t="s">
        <v>150</v>
      </c>
      <c r="B9" s="50" t="n">
        <v>190</v>
      </c>
      <c r="C9" s="32" t="n">
        <f aca="false">B9/OPEX!$B$13</f>
        <v>0.0528815802067118</v>
      </c>
      <c r="D9" s="19"/>
    </row>
    <row r="10" customFormat="false" ht="15" hidden="false" customHeight="true" outlineLevel="0" collapsed="false">
      <c r="A10" s="16" t="s">
        <v>151</v>
      </c>
      <c r="B10" s="50" t="n">
        <v>240</v>
      </c>
      <c r="C10" s="32" t="n">
        <f aca="false">B10/OPEX!$B$13</f>
        <v>0.0667977855242675</v>
      </c>
      <c r="D10" s="19" t="s">
        <v>152</v>
      </c>
    </row>
    <row r="11" customFormat="false" ht="15" hidden="false" customHeight="true" outlineLevel="0" collapsed="false">
      <c r="A11" s="16" t="s">
        <v>153</v>
      </c>
      <c r="B11" s="50" t="n">
        <v>60</v>
      </c>
      <c r="C11" s="32" t="n">
        <f aca="false">B11/OPEX!$B$13</f>
        <v>0.0166994463810669</v>
      </c>
      <c r="D11" s="19"/>
    </row>
    <row r="12" customFormat="false" ht="15" hidden="false" customHeight="true" outlineLevel="0" collapsed="false">
      <c r="A12" s="16" t="s">
        <v>154</v>
      </c>
      <c r="B12" s="50" t="n">
        <v>110</v>
      </c>
      <c r="C12" s="32" t="n">
        <f aca="false">B12/OPEX!$B$13</f>
        <v>0.0306156516986226</v>
      </c>
      <c r="D12" s="19"/>
    </row>
    <row r="13" customFormat="false" ht="15" hidden="false" customHeight="true" outlineLevel="0" collapsed="false">
      <c r="A13" s="26" t="s">
        <v>155</v>
      </c>
      <c r="B13" s="37" t="n">
        <f aca="false">SUM(B4:B12)</f>
        <v>3592.93348</v>
      </c>
      <c r="C13" s="27"/>
      <c r="D13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1" t="s">
        <v>156</v>
      </c>
    </row>
    <row r="3" customFormat="false" ht="15" hidden="false" customHeight="true" outlineLevel="0" collapsed="false">
      <c r="A3" s="15" t="s">
        <v>157</v>
      </c>
      <c r="B3" s="15" t="s">
        <v>24</v>
      </c>
    </row>
    <row r="4" customFormat="false" ht="15" hidden="false" customHeight="true" outlineLevel="0" collapsed="false">
      <c r="A4" s="16" t="s">
        <v>4</v>
      </c>
      <c r="B4" s="51" t="n">
        <f aca="false">CAPEX!$D$25</f>
        <v>12000</v>
      </c>
    </row>
    <row r="5" customFormat="false" ht="15" hidden="false" customHeight="true" outlineLevel="0" collapsed="false">
      <c r="A5" s="16" t="s">
        <v>75</v>
      </c>
      <c r="B5" s="52" t="n">
        <f aca="false">Выручка!$E$12</f>
        <v>5033.556016</v>
      </c>
    </row>
    <row r="6" customFormat="false" ht="15" hidden="false" customHeight="true" outlineLevel="0" collapsed="false">
      <c r="A6" s="16" t="s">
        <v>158</v>
      </c>
      <c r="B6" s="52" t="n">
        <f aca="false">OPEX!$B$13</f>
        <v>3592.93348</v>
      </c>
    </row>
    <row r="7" customFormat="false" ht="15" hidden="false" customHeight="true" outlineLevel="0" collapsed="false">
      <c r="A7" s="53" t="s">
        <v>11</v>
      </c>
      <c r="B7" s="54" t="n">
        <f aca="false">B5-B6</f>
        <v>1440.622536</v>
      </c>
    </row>
    <row r="8" customFormat="false" ht="15" hidden="false" customHeight="true" outlineLevel="0" collapsed="false">
      <c r="A8" s="53" t="s">
        <v>12</v>
      </c>
      <c r="B8" s="55" t="n">
        <f aca="false">B7/B5</f>
        <v>0.286203735772631</v>
      </c>
    </row>
    <row r="9" customFormat="false" ht="15" hidden="false" customHeight="true" outlineLevel="0" collapsed="false">
      <c r="A9" s="16" t="s">
        <v>159</v>
      </c>
      <c r="B9" s="52" t="n">
        <f aca="false">B4/10</f>
        <v>1200</v>
      </c>
    </row>
    <row r="10" customFormat="false" ht="15" hidden="false" customHeight="true" outlineLevel="0" collapsed="false">
      <c r="A10" s="16" t="s">
        <v>160</v>
      </c>
      <c r="B10" s="52" t="n">
        <f aca="false">B7-B9</f>
        <v>240.622536000001</v>
      </c>
    </row>
    <row r="11" customFormat="false" ht="15" hidden="false" customHeight="true" outlineLevel="0" collapsed="false">
      <c r="A11" s="16" t="s">
        <v>161</v>
      </c>
      <c r="B11" s="52" t="n">
        <f aca="false">MAX(B10*0.06,0)</f>
        <v>14.43735216</v>
      </c>
    </row>
    <row r="12" customFormat="false" ht="15" hidden="false" customHeight="true" outlineLevel="0" collapsed="false">
      <c r="A12" s="16" t="s">
        <v>162</v>
      </c>
      <c r="B12" s="52" t="n">
        <f aca="false">B10-B11</f>
        <v>226.185183840001</v>
      </c>
    </row>
    <row r="13" customFormat="false" ht="15" hidden="false" customHeight="true" outlineLevel="0" collapsed="false">
      <c r="A13" s="16" t="s">
        <v>163</v>
      </c>
      <c r="B13" s="52" t="n">
        <f aca="false">B12+B9</f>
        <v>1426.18518384</v>
      </c>
    </row>
    <row r="14" customFormat="false" ht="15" hidden="false" customHeight="true" outlineLevel="0" collapsed="false">
      <c r="A14" s="16" t="s">
        <v>164</v>
      </c>
      <c r="B14" s="56" t="n">
        <f aca="false">B4/B7</f>
        <v>8.32973225125224</v>
      </c>
    </row>
    <row r="15" customFormat="false" ht="15" hidden="false" customHeight="true" outlineLevel="0" collapsed="false">
      <c r="A15" s="16" t="s">
        <v>165</v>
      </c>
      <c r="B15" s="56" t="n">
        <f aca="false">B4/B13</f>
        <v>8.41405459541378</v>
      </c>
    </row>
    <row r="16" customFormat="false" ht="26.25" hidden="false" customHeight="true" outlineLevel="0" collapsed="false">
      <c r="A16" s="53" t="s">
        <v>166</v>
      </c>
      <c r="B16" s="55" t="n">
        <f aca="false">B7/B4</f>
        <v>0.120051878</v>
      </c>
    </row>
    <row r="20" customFormat="false" ht="15" hidden="false" customHeight="true" outlineLevel="0" collapsed="false">
      <c r="A20" s="14" t="s">
        <v>167</v>
      </c>
    </row>
    <row r="21" customFormat="false" ht="15" hidden="false" customHeight="true" outlineLevel="0" collapsed="false">
      <c r="A21" s="15" t="s">
        <v>168</v>
      </c>
      <c r="B21" s="15" t="s">
        <v>169</v>
      </c>
      <c r="C21" s="15" t="s">
        <v>170</v>
      </c>
      <c r="D21" s="15" t="s">
        <v>171</v>
      </c>
      <c r="E21" s="15" t="s">
        <v>172</v>
      </c>
      <c r="F21" s="15" t="s">
        <v>173</v>
      </c>
      <c r="G21" s="15" t="s">
        <v>174</v>
      </c>
      <c r="H21" s="15" t="s">
        <v>175</v>
      </c>
      <c r="I21" s="15" t="s">
        <v>176</v>
      </c>
      <c r="J21" s="15" t="s">
        <v>177</v>
      </c>
      <c r="K21" s="15" t="s">
        <v>178</v>
      </c>
    </row>
    <row r="22" customFormat="false" ht="15" hidden="false" customHeight="true" outlineLevel="0" collapsed="false">
      <c r="A22" s="33" t="s">
        <v>179</v>
      </c>
      <c r="B22" s="23" t="n">
        <v>0</v>
      </c>
      <c r="C22" s="23" t="n">
        <v>0.35</v>
      </c>
      <c r="D22" s="23" t="n">
        <v>0.65</v>
      </c>
      <c r="E22" s="23" t="n">
        <v>0.85</v>
      </c>
      <c r="F22" s="23" t="n">
        <v>1</v>
      </c>
      <c r="G22" s="23" t="n">
        <v>1</v>
      </c>
      <c r="H22" s="23" t="n">
        <v>1</v>
      </c>
      <c r="I22" s="23" t="n">
        <v>1</v>
      </c>
      <c r="J22" s="23" t="n">
        <v>1</v>
      </c>
      <c r="K22" s="23" t="n">
        <v>1</v>
      </c>
    </row>
    <row r="23" customFormat="false" ht="15" hidden="false" customHeight="true" outlineLevel="0" collapsed="false">
      <c r="A23" s="33" t="s">
        <v>180</v>
      </c>
      <c r="B23" s="24" t="n">
        <f aca="false">B22*Выручка!$E$12</f>
        <v>0</v>
      </c>
      <c r="C23" s="24" t="n">
        <f aca="false">C22*Выручка!$E$12</f>
        <v>1761.7446056</v>
      </c>
      <c r="D23" s="24" t="n">
        <f aca="false">D22*Выручка!$E$12</f>
        <v>3271.8114104</v>
      </c>
      <c r="E23" s="24" t="n">
        <f aca="false">E22*Выручка!$E$12</f>
        <v>4278.5226136</v>
      </c>
      <c r="F23" s="24" t="n">
        <f aca="false">F22*Выручка!$E$12</f>
        <v>5033.556016</v>
      </c>
      <c r="G23" s="24" t="n">
        <f aca="false">G22*Выручка!$E$12</f>
        <v>5033.556016</v>
      </c>
      <c r="H23" s="24" t="n">
        <f aca="false">H22*Выручка!$E$12</f>
        <v>5033.556016</v>
      </c>
      <c r="I23" s="24" t="n">
        <f aca="false">I22*Выручка!$E$12</f>
        <v>5033.556016</v>
      </c>
      <c r="J23" s="24" t="n">
        <f aca="false">J22*Выручка!$E$12</f>
        <v>5033.556016</v>
      </c>
      <c r="K23" s="24" t="n">
        <f aca="false">K22*Выручка!$E$12</f>
        <v>5033.556016</v>
      </c>
    </row>
    <row r="24" customFormat="false" ht="15" hidden="false" customHeight="true" outlineLevel="0" collapsed="false">
      <c r="A24" s="33" t="s">
        <v>181</v>
      </c>
      <c r="B24" s="24" t="n">
        <f aca="false">B22*$B$7</f>
        <v>0</v>
      </c>
      <c r="C24" s="24" t="n">
        <f aca="false">C22*$B$7</f>
        <v>504.2178876</v>
      </c>
      <c r="D24" s="24" t="n">
        <f aca="false">D22*$B$7</f>
        <v>936.404648400001</v>
      </c>
      <c r="E24" s="24" t="n">
        <f aca="false">E22*$B$7</f>
        <v>1224.5291556</v>
      </c>
      <c r="F24" s="24" t="n">
        <f aca="false">F22*$B$7</f>
        <v>1440.622536</v>
      </c>
      <c r="G24" s="24" t="n">
        <f aca="false">G22*$B$7</f>
        <v>1440.622536</v>
      </c>
      <c r="H24" s="24" t="n">
        <f aca="false">H22*$B$7</f>
        <v>1440.622536</v>
      </c>
      <c r="I24" s="24" t="n">
        <f aca="false">I22*$B$7</f>
        <v>1440.622536</v>
      </c>
      <c r="J24" s="24" t="n">
        <f aca="false">J22*$B$7</f>
        <v>1440.622536</v>
      </c>
      <c r="K24" s="24" t="n">
        <f aca="false">K22*$B$7</f>
        <v>1440.622536</v>
      </c>
    </row>
    <row r="25" customFormat="false" ht="15" hidden="false" customHeight="true" outlineLevel="0" collapsed="false">
      <c r="A25" s="33" t="s">
        <v>182</v>
      </c>
      <c r="B25" s="24" t="n">
        <f aca="false">B24-CAPEX!$D$25</f>
        <v>-12000</v>
      </c>
      <c r="C25" s="24" t="n">
        <f aca="false">B25+C24</f>
        <v>-11495.7821124</v>
      </c>
      <c r="D25" s="24" t="n">
        <f aca="false">C25+D24</f>
        <v>-10559.377464</v>
      </c>
      <c r="E25" s="24" t="n">
        <f aca="false">D25+E24</f>
        <v>-9334.8483084</v>
      </c>
      <c r="F25" s="24" t="n">
        <f aca="false">E25+F24</f>
        <v>-7894.2257724</v>
      </c>
      <c r="G25" s="24" t="n">
        <f aca="false">F25+G24</f>
        <v>-6453.6032364</v>
      </c>
      <c r="H25" s="24" t="n">
        <f aca="false">G25+H24</f>
        <v>-5012.9807004</v>
      </c>
      <c r="I25" s="24" t="n">
        <f aca="false">H25+I24</f>
        <v>-3572.3581644</v>
      </c>
      <c r="J25" s="24" t="n">
        <f aca="false">I25+J24</f>
        <v>-2131.73562839999</v>
      </c>
      <c r="K25" s="24" t="n">
        <f aca="false">J25+K24</f>
        <v>-691.113092399994</v>
      </c>
    </row>
    <row r="26" customFormat="false" ht="15" hidden="false" customHeight="true" outlineLevel="0" collapsed="false">
      <c r="A26" s="57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2026-06-25T05:19:52Z</dcterms:created>
  <dc:creator>openpyxl</dc:creator>
  <dc:description/>
  <dc:language>en-US</dc:language>
  <cp:lastModifiedBy/>
  <dcterms:modified xsi:type="dcterms:W3CDTF">2026-06-25T05:21:14Z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