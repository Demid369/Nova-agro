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Продукция" sheetId="3" state="visible" r:id="rId3"/>
    <sheet xmlns:r="http://schemas.openxmlformats.org/officeDocument/2006/relationships" name="Выручка" sheetId="4" state="visible" r:id="rId4"/>
    <sheet xmlns:r="http://schemas.openxmlformats.org/officeDocument/2006/relationships" name="Корма" sheetId="5" state="visible" r:id="rId5"/>
    <sheet xmlns:r="http://schemas.openxmlformats.org/officeDocument/2006/relationships" name="CAPEX" sheetId="6" state="visible" r:id="rId6"/>
    <sheet xmlns:r="http://schemas.openxmlformats.org/officeDocument/2006/relationships" name="OPEX" sheetId="7" state="visible" r:id="rId7"/>
    <sheet xmlns:r="http://schemas.openxmlformats.org/officeDocument/2006/relationships" name="Экономика" sheetId="8" state="visible" r:id="rId8"/>
    <sheet xmlns:r="http://schemas.openxmlformats.org/officeDocument/2006/relationships" name="NPV-IRR" sheetId="9" state="visible" r:id="rId9"/>
    <sheet xmlns:r="http://schemas.openxmlformats.org/officeDocument/2006/relationships" name="Финансирование" sheetId="10" state="visible" r:id="rId10"/>
    <sheet xmlns:r="http://schemas.openxmlformats.org/officeDocument/2006/relationships" name="APK-100" sheetId="11" state="visible" r:id="rId11"/>
    <sheet xmlns:r="http://schemas.openxmlformats.org/officeDocument/2006/relationships" name="Чувствительность" sheetId="12" state="visible" r:id="rId12"/>
    <sheet xmlns:r="http://schemas.openxmlformats.org/officeDocument/2006/relationships" name="Экспорт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"/>
    <numFmt numFmtId="167" formatCode="#,##0;\(#,##0\);\-"/>
    <numFmt numFmtId="168" formatCode="#,##0.0;\(#,##0.0\);\-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i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F4E2E"/>
      <sz val="12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i val="1"/>
      <color rgb="FF0000FF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i val="1"/>
      <sz val="8"/>
    </font>
    <font>
      <name val="Arial"/>
      <charset val="1"/>
      <family val="0"/>
      <color rgb="FF008000"/>
      <sz val="11"/>
    </font>
    <font>
      <name val="Arial"/>
      <charset val="1"/>
      <family val="0"/>
      <i val="1"/>
      <sz val="11"/>
    </font>
    <font>
      <name val="Arial"/>
      <charset val="1"/>
      <family val="0"/>
      <sz val="8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FF1F4E2E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D9E5DC"/>
        <bgColor rgb="FFCCCCCC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right" vertical="bottom"/>
    </xf>
    <xf numFmtId="164" fontId="8" fillId="0" borderId="1" applyAlignment="1" pivotButton="0" quotePrefix="0" xfId="0">
      <alignment horizontal="right" vertical="bottom"/>
    </xf>
    <xf numFmtId="165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right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4" fontId="14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3" fontId="14" fillId="3" borderId="2" applyAlignment="1" pivotButton="0" quotePrefix="0" xfId="0">
      <alignment horizontal="center" vertical="center" wrapText="1"/>
    </xf>
    <xf numFmtId="166" fontId="14" fillId="3" borderId="2" applyAlignment="1" pivotButton="0" quotePrefix="0" xfId="0">
      <alignment horizontal="center" vertical="center" wrapText="1"/>
    </xf>
    <xf numFmtId="2" fontId="14" fillId="3" borderId="2" applyAlignment="1" pivotButton="0" quotePrefix="0" xfId="0">
      <alignment horizontal="center" vertical="center" wrapText="1"/>
    </xf>
    <xf numFmtId="165" fontId="14" fillId="3" borderId="2" applyAlignment="1" pivotButton="0" quotePrefix="0" xfId="0">
      <alignment horizontal="center" vertical="center" wrapText="1"/>
    </xf>
    <xf numFmtId="167" fontId="13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167" fontId="12" fillId="4" borderId="2" applyAlignment="1" pivotButton="0" quotePrefix="0" xfId="0">
      <alignment horizontal="general" vertical="bottom"/>
    </xf>
    <xf numFmtId="164" fontId="13" fillId="0" borderId="2" applyAlignment="1" pivotButton="0" quotePrefix="0" xfId="0">
      <alignment horizontal="center" vertical="center" wrapText="1"/>
    </xf>
    <xf numFmtId="164" fontId="16" fillId="0" borderId="2" applyAlignment="1" pivotButton="0" quotePrefix="0" xfId="0">
      <alignment horizontal="right" vertical="center"/>
    </xf>
    <xf numFmtId="168" fontId="13" fillId="0" borderId="2" applyAlignment="1" pivotButton="0" quotePrefix="0" xfId="0">
      <alignment horizontal="right" vertical="center"/>
    </xf>
    <xf numFmtId="165" fontId="13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8" fontId="14" fillId="3" borderId="2" applyAlignment="1" pivotButton="0" quotePrefix="0" xfId="0">
      <alignment horizontal="general" vertical="bottom"/>
    </xf>
    <xf numFmtId="165" fontId="13" fillId="0" borderId="2" applyAlignment="1" pivotButton="0" quotePrefix="0" xfId="0">
      <alignment horizontal="general" vertical="bottom"/>
    </xf>
    <xf numFmtId="168" fontId="12" fillId="4" borderId="2" applyAlignment="1" pivotButton="0" quotePrefix="0" xfId="0">
      <alignment horizontal="general" vertical="bottom"/>
    </xf>
    <xf numFmtId="165" fontId="12" fillId="4" borderId="2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17" fillId="0" borderId="0" applyAlignment="1" pivotButton="0" quotePrefix="0" xfId="0">
      <alignment horizontal="general" vertical="bottom"/>
    </xf>
    <xf numFmtId="4" fontId="14" fillId="3" borderId="2" applyAlignment="1" pivotButton="0" quotePrefix="0" xfId="0">
      <alignment horizontal="center" vertical="center" wrapText="1"/>
    </xf>
    <xf numFmtId="165" fontId="13" fillId="0" borderId="2" applyAlignment="1" pivotButton="0" quotePrefix="0" xfId="0">
      <alignment horizontal="center" vertical="center" wrapText="1"/>
    </xf>
    <xf numFmtId="168" fontId="12" fillId="0" borderId="0" applyAlignment="1" pivotButton="0" quotePrefix="0" xfId="0">
      <alignment horizontal="general" vertical="bottom"/>
    </xf>
    <xf numFmtId="0" fontId="14" fillId="3" borderId="2" applyAlignment="1" pivotButton="0" quotePrefix="0" xfId="0">
      <alignment horizontal="center" vertical="center" wrapText="1"/>
    </xf>
    <xf numFmtId="167" fontId="14" fillId="3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general" vertical="bottom"/>
    </xf>
    <xf numFmtId="168" fontId="16" fillId="0" borderId="2" applyAlignment="1" pivotButton="0" quotePrefix="0" xfId="0">
      <alignment horizontal="right" vertical="center"/>
    </xf>
    <xf numFmtId="168" fontId="14" fillId="3" borderId="2" applyAlignment="1" pivotButton="0" quotePrefix="0" xfId="0">
      <alignment horizontal="right" vertical="center"/>
    </xf>
    <xf numFmtId="3" fontId="13" fillId="0" borderId="2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0" fontId="12" fillId="4" borderId="2" applyAlignment="1" pivotButton="0" quotePrefix="0" xfId="0">
      <alignment horizontal="left" vertical="center" wrapText="1"/>
    </xf>
    <xf numFmtId="164" fontId="12" fillId="4" borderId="2" applyAlignment="1" pivotButton="0" quotePrefix="0" xfId="0">
      <alignment horizontal="right" vertical="center"/>
    </xf>
    <xf numFmtId="165" fontId="12" fillId="4" borderId="2" applyAlignment="1" pivotButton="0" quotePrefix="0" xfId="0">
      <alignment horizontal="right" vertical="center"/>
    </xf>
    <xf numFmtId="166" fontId="13" fillId="0" borderId="2" applyAlignment="1" pivotButton="0" quotePrefix="0" xfId="0">
      <alignment horizontal="right" vertical="center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right" vertical="bottom"/>
    </xf>
    <xf numFmtId="164" fontId="8" fillId="0" borderId="1" applyAlignment="1" pivotButton="0" quotePrefix="0" xfId="0">
      <alignment horizontal="right" vertical="bottom"/>
    </xf>
    <xf numFmtId="165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right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4" fontId="14" fillId="3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3" fontId="14" fillId="3" borderId="2" applyAlignment="1" pivotButton="0" quotePrefix="0" xfId="0">
      <alignment horizontal="center" vertical="center" wrapText="1"/>
    </xf>
    <xf numFmtId="166" fontId="14" fillId="3" borderId="2" applyAlignment="1" pivotButton="0" quotePrefix="0" xfId="0">
      <alignment horizontal="center" vertical="center" wrapText="1"/>
    </xf>
    <xf numFmtId="2" fontId="14" fillId="3" borderId="2" applyAlignment="1" pivotButton="0" quotePrefix="0" xfId="0">
      <alignment horizontal="center" vertical="center" wrapText="1"/>
    </xf>
    <xf numFmtId="165" fontId="14" fillId="3" borderId="2" applyAlignment="1" pivotButton="0" quotePrefix="0" xfId="0">
      <alignment horizontal="center" vertical="center" wrapText="1"/>
    </xf>
    <xf numFmtId="167" fontId="13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167" fontId="12" fillId="4" borderId="2" applyAlignment="1" pivotButton="0" quotePrefix="0" xfId="0">
      <alignment horizontal="general" vertical="bottom"/>
    </xf>
    <xf numFmtId="164" fontId="13" fillId="0" borderId="2" applyAlignment="1" pivotButton="0" quotePrefix="0" xfId="0">
      <alignment horizontal="center" vertical="center" wrapText="1"/>
    </xf>
    <xf numFmtId="164" fontId="16" fillId="0" borderId="2" applyAlignment="1" pivotButton="0" quotePrefix="0" xfId="0">
      <alignment horizontal="right" vertical="center"/>
    </xf>
    <xf numFmtId="168" fontId="13" fillId="0" borderId="2" applyAlignment="1" pivotButton="0" quotePrefix="0" xfId="0">
      <alignment horizontal="right" vertical="center"/>
    </xf>
    <xf numFmtId="165" fontId="13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8" fontId="14" fillId="3" borderId="2" applyAlignment="1" pivotButton="0" quotePrefix="0" xfId="0">
      <alignment horizontal="general" vertical="bottom"/>
    </xf>
    <xf numFmtId="165" fontId="13" fillId="0" borderId="2" applyAlignment="1" pivotButton="0" quotePrefix="0" xfId="0">
      <alignment horizontal="general" vertical="bottom"/>
    </xf>
    <xf numFmtId="168" fontId="12" fillId="4" borderId="2" applyAlignment="1" pivotButton="0" quotePrefix="0" xfId="0">
      <alignment horizontal="general" vertical="bottom"/>
    </xf>
    <xf numFmtId="165" fontId="12" fillId="4" borderId="2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17" fillId="0" borderId="0" applyAlignment="1" pivotButton="0" quotePrefix="0" xfId="0">
      <alignment horizontal="general" vertical="bottom"/>
    </xf>
    <xf numFmtId="4" fontId="14" fillId="3" borderId="2" applyAlignment="1" pivotButton="0" quotePrefix="0" xfId="0">
      <alignment horizontal="center" vertical="center" wrapText="1"/>
    </xf>
    <xf numFmtId="165" fontId="13" fillId="0" borderId="2" applyAlignment="1" pivotButton="0" quotePrefix="0" xfId="0">
      <alignment horizontal="center" vertical="center" wrapText="1"/>
    </xf>
    <xf numFmtId="168" fontId="12" fillId="0" borderId="0" applyAlignment="1" pivotButton="0" quotePrefix="0" xfId="0">
      <alignment horizontal="general" vertical="bottom"/>
    </xf>
    <xf numFmtId="0" fontId="14" fillId="3" borderId="2" applyAlignment="1" pivotButton="0" quotePrefix="0" xfId="0">
      <alignment horizontal="center" vertical="center" wrapText="1"/>
    </xf>
    <xf numFmtId="167" fontId="14" fillId="3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167" fontId="13" fillId="0" borderId="0" applyAlignment="1" pivotButton="0" quotePrefix="0" xfId="0">
      <alignment horizontal="general" vertical="bottom"/>
    </xf>
    <xf numFmtId="168" fontId="16" fillId="0" borderId="2" applyAlignment="1" pivotButton="0" quotePrefix="0" xfId="0">
      <alignment horizontal="right" vertical="center"/>
    </xf>
    <xf numFmtId="168" fontId="14" fillId="3" borderId="2" applyAlignment="1" pivotButton="0" quotePrefix="0" xfId="0">
      <alignment horizontal="right" vertical="center"/>
    </xf>
    <xf numFmtId="3" fontId="13" fillId="0" borderId="2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0" fontId="12" fillId="4" borderId="2" applyAlignment="1" pivotButton="0" quotePrefix="0" xfId="0">
      <alignment horizontal="left" vertical="center" wrapText="1"/>
    </xf>
    <xf numFmtId="164" fontId="12" fillId="4" borderId="2" applyAlignment="1" pivotButton="0" quotePrefix="0" xfId="0">
      <alignment horizontal="right" vertical="center"/>
    </xf>
    <xf numFmtId="165" fontId="12" fillId="4" borderId="2" applyAlignment="1" pivotButton="0" quotePrefix="0" xfId="0">
      <alignment horizontal="right" vertical="center"/>
    </xf>
    <xf numFmtId="166" fontId="13" fillId="0" borderId="2" applyAlignment="1" pivotButton="0" quotePrefix="0" xfId="0">
      <alignment horizontal="right" vertical="center"/>
    </xf>
    <xf numFmtId="0" fontId="15" fillId="0" borderId="0" applyAlignment="1" pivotButton="0" quotePrefix="0" xfId="0">
      <alignment horizontal="general" vertical="bottom"/>
    </xf>
    <xf numFmtId="0" fontId="19" fillId="0" borderId="0" pivotButton="0" quotePrefix="0" xfId="0"/>
    <xf numFmtId="0" fontId="20" fillId="5" borderId="0" applyAlignment="1" pivotButton="0" quotePrefix="0" xfId="0">
      <alignment vertical="top" wrapText="1"/>
    </xf>
    <xf numFmtId="0" fontId="20" fillId="0" borderId="0" pivotButton="0" quotePrefix="0" xfId="0"/>
    <xf numFmtId="10" fontId="0" fillId="0" borderId="0" pivotButton="0" quotePrefix="0" xfId="0"/>
    <xf numFmtId="0" fontId="20" fillId="5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5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58" min="1" max="1"/>
    <col width="18" customWidth="1" style="58" min="2" max="2"/>
  </cols>
  <sheetData>
    <row r="1" ht="19.5" customHeight="1" s="59">
      <c r="A1" s="60" t="inlineStr">
        <is>
          <t>ПТИЦЕКОМПЛЕКС «НОВА-АГРО» — СВОДКА</t>
        </is>
      </c>
    </row>
    <row r="2" ht="15" customHeight="1" s="59">
      <c r="A2" s="61" t="inlineStr">
        <is>
          <t>Запорожская область · CAPEX 12 000 млн ₽ · направление агрохолдинга · ставка на бройлер + яйцо (~70% направленческого CAPEX)</t>
        </is>
      </c>
    </row>
    <row r="3" ht="15" customHeight="1" s="59">
      <c r="A3" s="61" t="inlineStr">
        <is>
          <t>Цены и нормативы — актуальные опт. РФ, II кв. 2026 (консервативно)</t>
        </is>
      </c>
    </row>
    <row r="5" ht="15" customHeight="1" s="59">
      <c r="A5" s="62" t="inlineStr">
        <is>
          <t>КЛЮЧЕВЫЕ ПОКАЗАТЕЛИ</t>
        </is>
      </c>
      <c r="B5" s="63" t="n"/>
    </row>
    <row r="6" ht="15" customHeight="1" s="59">
      <c r="A6" s="64" t="inlineStr">
        <is>
          <t>CAPEX, млн ₽</t>
        </is>
      </c>
      <c r="B6" s="65">
        <f>Экономика!B4</f>
        <v/>
      </c>
    </row>
    <row r="7" ht="15" customHeight="1" s="59">
      <c r="A7" s="64" t="inlineStr">
        <is>
          <t>Мясо птицы, т/год</t>
        </is>
      </c>
      <c r="B7" s="65">
        <f>Продукция!G9</f>
        <v/>
      </c>
    </row>
    <row r="8" ht="15" customHeight="1" s="59">
      <c r="A8" s="64" t="inlineStr">
        <is>
          <t>Куриное яйцо, млн шт./год</t>
        </is>
      </c>
      <c r="B8" s="66">
        <f>Продукция!G13</f>
        <v/>
      </c>
    </row>
    <row r="9" ht="15" customHeight="1" s="59">
      <c r="A9" s="64" t="inlineStr">
        <is>
          <t>Перепелиное яйцо, млн шт./год</t>
        </is>
      </c>
      <c r="B9" s="66">
        <f>Продукция!G14</f>
        <v/>
      </c>
    </row>
    <row r="10" ht="15" customHeight="1" s="59">
      <c r="A10" s="64" t="inlineStr">
        <is>
          <t>Корма, т/год</t>
        </is>
      </c>
      <c r="B10" s="65">
        <f>Корма!D12</f>
        <v/>
      </c>
    </row>
    <row r="11" ht="15" customHeight="1" s="59">
      <c r="A11" s="64" t="inlineStr">
        <is>
          <t>Выручка (полн. мощн.), млн ₽/год</t>
        </is>
      </c>
      <c r="B11" s="66">
        <f>Выручка!E12</f>
        <v/>
      </c>
    </row>
    <row r="12" ht="15" customHeight="1" s="59">
      <c r="A12" s="64" t="inlineStr">
        <is>
          <t>OPEX (полн. мощн.), млн ₽/год</t>
        </is>
      </c>
      <c r="B12" s="66">
        <f>OPEX!B13</f>
        <v/>
      </c>
    </row>
    <row r="13" ht="15" customHeight="1" s="59">
      <c r="A13" s="64" t="inlineStr">
        <is>
          <t>EBITDA, млн ₽/год</t>
        </is>
      </c>
      <c r="B13" s="66">
        <f>Экономика!B7</f>
        <v/>
      </c>
    </row>
    <row r="14" ht="15" customHeight="1" s="59">
      <c r="A14" s="64" t="inlineStr">
        <is>
          <t>Маржа EBITDA</t>
        </is>
      </c>
      <c r="B14" s="67">
        <f>Экономика!B8</f>
        <v/>
      </c>
    </row>
    <row r="15" ht="15" customHeight="1" s="59">
      <c r="A15" s="64" t="inlineStr">
        <is>
          <t>Простая окупаемость, лет</t>
        </is>
      </c>
      <c r="B15" s="68">
        <f>Экономика!B14</f>
        <v/>
      </c>
    </row>
    <row r="16" ht="15" customHeight="1" s="59">
      <c r="A16" s="64" t="inlineStr">
        <is>
          <t>Рабочих мест, чел.</t>
        </is>
      </c>
      <c r="B16" s="65" t="n">
        <v>476</v>
      </c>
    </row>
    <row r="17" ht="15" customHeight="1" s="59">
      <c r="A17" s="64" t="inlineStr">
        <is>
          <t>Единовременное поголовье, гол.</t>
        </is>
      </c>
      <c r="B17" s="65" t="n">
        <v>2147400</v>
      </c>
    </row>
    <row r="18" ht="15" customHeight="1" s="59">
      <c r="A18" s="64" t="inlineStr">
        <is>
          <t>Птичников/модулей, шт.</t>
        </is>
      </c>
      <c r="B18" s="65" t="n">
        <v>118</v>
      </c>
    </row>
    <row r="20" ht="15" customHeight="1" s="59">
      <c r="A20" s="61" t="inlineStr">
        <is>
          <t>NPV @ 10%, млн ₽</t>
        </is>
      </c>
      <c r="B20" s="58">
        <f>NPV-IRR!B22</f>
        <v/>
      </c>
    </row>
    <row r="21">
      <c r="A21" s="58" t="inlineStr">
        <is>
          <t>IRR, %</t>
        </is>
      </c>
      <c r="B21" s="58">
        <f>NPV-IRR!B23</f>
        <v/>
      </c>
    </row>
    <row r="22">
      <c r="A22" s="58" t="inlineStr">
        <is>
          <t>Финансирование</t>
        </is>
      </c>
      <c r="B22" s="58" t="inlineStr">
        <is>
          <t>лист «Финансирование»</t>
        </is>
      </c>
    </row>
    <row r="23">
      <c r="A23" s="58" t="inlineStr">
        <is>
          <t>Энергетика</t>
        </is>
      </c>
      <c r="B23" s="58" t="inlineStr">
        <is>
          <t>solar 10 МВт·ч + compost 5 т/ч (= кролики); без лок. biogaz+ГПU</t>
        </is>
      </c>
    </row>
    <row r="24">
      <c r="A24" s="58" t="inlineStr">
        <is>
          <t>Подробности — листы: … CAPEX, OPEX, Экономика, NPV-IRR, Финансирование, APK-100, Допущения.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58" min="1" max="1"/>
    <col width="8" customWidth="1" style="58" min="2" max="2"/>
    <col width="12" customWidth="1" style="58" min="3" max="3"/>
    <col width="60" customWidth="1" style="58" min="4" max="4"/>
  </cols>
  <sheetData>
    <row r="1" ht="15.75" customHeight="1" s="59">
      <c r="A1" s="69" t="inlineStr">
        <is>
          <t>ПТИЦЕКОМПЛЕКС «НОВА-АГРО» — КЛЮЧЕВЫЕ ДОПУЩЕНИЯ И ЦЕНЫ</t>
        </is>
      </c>
    </row>
    <row r="2" ht="15" customHeight="1" s="59">
      <c r="A2" s="70" t="inlineStr">
        <is>
          <t>Запорожская область | CAPEX 12 000 млн ₽ | горизонт 10 лет | старт 01.09.2026 | режим ЕСХН 6%</t>
        </is>
      </c>
    </row>
    <row r="3" ht="15" customHeight="1" s="59">
      <c r="A3" s="71" t="inlineStr">
        <is>
          <t>Цены — оптовые, РФ, II кв. 2026 (консервативно). Синим — вводные параметры.</t>
        </is>
      </c>
    </row>
    <row r="5" ht="15" customHeight="1" s="59">
      <c r="A5" s="72" t="inlineStr">
        <is>
          <t>ЦЕНЫ РЕАЛИЗАЦИИ И КОРМА</t>
        </is>
      </c>
    </row>
    <row r="6" ht="15" customHeight="1" s="59">
      <c r="A6" s="73" t="inlineStr">
        <is>
          <t>Параметр</t>
        </is>
      </c>
      <c r="B6" s="73" t="inlineStr">
        <is>
          <t>Ед.</t>
        </is>
      </c>
      <c r="C6" s="73" t="inlineStr">
        <is>
          <t>Значение</t>
        </is>
      </c>
      <c r="D6" s="73" t="inlineStr">
        <is>
          <t>Источник / комментарий</t>
        </is>
      </c>
    </row>
    <row r="7" ht="15" customHeight="1" s="59">
      <c r="A7" s="74" t="inlineStr">
        <is>
          <t>Цена бройлера (тушка+разделка, халяль)</t>
        </is>
      </c>
      <c r="B7" s="75" t="inlineStr">
        <is>
          <t>₽/кг</t>
        </is>
      </c>
      <c r="C7" s="76" t="n">
        <v>205</v>
      </c>
      <c r="D7" s="77" t="inlineStr">
        <is>
          <t>опт тушка ~200 ₽/кг + разделка; Росптицесоюз/Kommersant, июнь 2026</t>
        </is>
      </c>
    </row>
    <row r="8" ht="15" customHeight="1" s="59">
      <c r="A8" s="74" t="inlineStr">
        <is>
          <t>Цена индейки (тушка+разделка)</t>
        </is>
      </c>
      <c r="B8" s="75" t="inlineStr">
        <is>
          <t>₽/кг</t>
        </is>
      </c>
      <c r="C8" s="76" t="n">
        <v>360</v>
      </c>
      <c r="D8" s="77" t="inlineStr">
        <is>
          <t>тушка ~335, филе 485-525; meatinfo, 2026</t>
        </is>
      </c>
    </row>
    <row r="9" ht="15" customHeight="1" s="59">
      <c r="A9" s="74" t="inlineStr">
        <is>
          <t>Цена утки (тушка охл.)</t>
        </is>
      </c>
      <c r="B9" s="75" t="inlineStr">
        <is>
          <t>₽/кг</t>
        </is>
      </c>
      <c r="C9" s="76" t="n">
        <v>320</v>
      </c>
      <c r="D9" s="77" t="inlineStr">
        <is>
          <t>тушка 309-350; meatinfo, 2026</t>
        </is>
      </c>
    </row>
    <row r="10" ht="15" customHeight="1" s="59">
      <c r="A10" s="74" t="inlineStr">
        <is>
          <t>Цена гуся (тушка)</t>
        </is>
      </c>
      <c r="B10" s="75" t="inlineStr">
        <is>
          <t>₽/кг</t>
        </is>
      </c>
      <c r="C10" s="76" t="n">
        <v>480</v>
      </c>
      <c r="D10" s="77" t="inlineStr">
        <is>
          <t>тушка 500-620 (консервативно); meatinfo, 2026</t>
        </is>
      </c>
    </row>
    <row r="11" ht="15" customHeight="1" s="59">
      <c r="A11" s="74" t="inlineStr">
        <is>
          <t>Цена перепела (тушка)</t>
        </is>
      </c>
      <c r="B11" s="75" t="inlineStr">
        <is>
          <t>₽/кг</t>
        </is>
      </c>
      <c r="C11" s="76" t="n">
        <v>450</v>
      </c>
      <c r="D11" s="77" t="inlineStr">
        <is>
          <t>опт 380-430 + премиум; meatinfo, 2026</t>
        </is>
      </c>
    </row>
    <row r="12" ht="15" customHeight="1" s="59">
      <c r="A12" s="74" t="inlineStr">
        <is>
          <t>Цена куриного яйца</t>
        </is>
      </c>
      <c r="B12" s="75" t="inlineStr">
        <is>
          <t>₽/шт</t>
        </is>
      </c>
      <c r="C12" s="76" t="n">
        <v>7</v>
      </c>
      <c r="D12" s="77" t="inlineStr">
        <is>
          <t>≈70 ₽/дес.; опт 77-85 ₽/дес. без НДС, рынок волатилен (профицит)</t>
        </is>
      </c>
    </row>
    <row r="13" ht="15" customHeight="1" s="59">
      <c r="A13" s="74" t="inlineStr">
        <is>
          <t>Цена перепелиного яйца</t>
        </is>
      </c>
      <c r="B13" s="75" t="inlineStr">
        <is>
          <t>₽/шт</t>
        </is>
      </c>
      <c r="C13" s="76" t="n">
        <v>3</v>
      </c>
      <c r="D13" s="77" t="inlineStr">
        <is>
          <t>опт 3-3,5 ₽/шт; meatinfo, 2026</t>
        </is>
      </c>
    </row>
    <row r="14" ht="26.25" customHeight="1" s="59">
      <c r="A14" s="74" t="inlineStr">
        <is>
          <t>Себестоимость комбикорма (собств. завод)</t>
        </is>
      </c>
      <c r="B14" s="75" t="inlineStr">
        <is>
          <t>₽/т</t>
        </is>
      </c>
      <c r="C14" s="78" t="n">
        <v>28000</v>
      </c>
      <c r="D14" s="77" t="inlineStr">
        <is>
          <t>корм птицы ~28 тыс ₽/т (2025), собств. производство холдинга</t>
        </is>
      </c>
    </row>
    <row r="17">
      <c r="A17" s="58" t="inlineStr">
        <is>
          <t>МЕТОДОЛОГИЯ И ЭТАЛОН BASELINE (КРОЛИКИ)</t>
        </is>
      </c>
    </row>
    <row r="18">
      <c r="A18" s="58" t="inlineStr">
        <is>
          <t>Параметр</t>
        </is>
      </c>
      <c r="B18" s="58" t="inlineStr">
        <is>
          <t>Ед.</t>
        </is>
      </c>
      <c r="C18" s="58" t="inlineStr">
        <is>
          <t>Значение</t>
        </is>
      </c>
      <c r="D18" s="58" t="inlineStr">
        <is>
          <t>Источник / комментарий</t>
        </is>
      </c>
    </row>
    <row r="19">
      <c r="A19" s="58" t="inlineStr">
        <is>
          <t>Ставка дисконтирования (для NPV/IRR)</t>
        </is>
      </c>
      <c r="B19" s="58" t="inlineStr">
        <is>
          <t>%</t>
        </is>
      </c>
      <c r="C19" s="58" t="n">
        <v>10</v>
      </c>
      <c r="D19" s="58" t="inlineStr">
        <is>
          <t>docs/1.ТЭО_МОЯ МЕЧТА.docx tab#7</t>
        </is>
      </c>
    </row>
    <row r="20">
      <c r="A20" s="58" t="inlineStr">
        <is>
          <t>CAPEX solar на блоке</t>
        </is>
      </c>
      <c r="B20" s="58" t="inlineStr">
        <is>
          <t>МВт·ч / млн ₽</t>
        </is>
      </c>
      <c r="C20" s="58" t="inlineStr">
        <is>
          <t>10 / 1180,8</t>
        </is>
      </c>
      <c r="D20" s="58" t="inlineStr">
        <is>
          <t>tab#23; = кролики</t>
        </is>
      </c>
    </row>
    <row r="21">
      <c r="A21" s="58" t="inlineStr">
        <is>
          <t>CAPEX компost помёта</t>
        </is>
      </c>
      <c r="B21" s="58" t="inlineStr">
        <is>
          <t>т/ч / млн ₽</t>
        </is>
      </c>
      <c r="C21" s="58" t="inlineStr">
        <is>
          <t>5 / 36</t>
        </is>
      </c>
      <c r="D21" s="58" t="inlineStr">
        <is>
          <t>tab#23; = кролики</t>
        </is>
      </c>
    </row>
    <row r="22">
      <c r="A22" s="58" t="inlineStr">
        <is>
          <t>Локальный biogaz+ГПU в блоке</t>
        </is>
      </c>
      <c r="B22" s="58" t="inlineStr">
        <is>
          <t>—</t>
        </is>
      </c>
      <c r="C22" s="58" t="inlineStr">
        <is>
          <t>нет</t>
        </is>
      </c>
      <c r="D22" s="58" t="inlineStr">
        <is>
          <t>как кролики; помёт → APK 20 МВт·ч</t>
        </is>
      </c>
    </row>
    <row r="23">
      <c r="A23" s="58" t="inlineStr">
        <is>
          <t>OPEX покупное электро</t>
        </is>
      </c>
      <c r="B23" s="58" t="inlineStr">
        <is>
          <t>млн ₽/год</t>
        </is>
      </c>
      <c r="C23" s="58" t="n">
        <v>0</v>
      </c>
      <c r="D23" s="58" t="inlineStr">
        <is>
          <t>у кроликов строки нет</t>
        </is>
      </c>
    </row>
    <row r="24">
      <c r="A24" s="58" t="inlineStr">
        <is>
          <t>Удобрение из органики</t>
        </is>
      </c>
      <c r="B24" s="58" t="inlineStr">
        <is>
          <t>т/год × ₽/кг</t>
        </is>
      </c>
      <c r="C24" s="58" t="inlineStr">
        <is>
          <t>43 800 × 12</t>
        </is>
      </c>
      <c r="D24" s="58" t="inlineStr">
        <is>
          <t>tab#4,#205; сырьё — помёт птицы</t>
        </is>
      </c>
    </row>
    <row r="25">
      <c r="A25" s="58" t="inlineStr">
        <is>
          <t>ККЗ в CAPEX блока</t>
        </is>
      </c>
      <c r="B25" s="58" t="inlineStr">
        <is>
          <t>—</t>
        </is>
      </c>
      <c r="C25" s="58" t="inlineStr">
        <is>
          <t>нет</t>
        </is>
      </c>
      <c r="D25" s="58" t="inlineStr">
        <is>
          <t>корм с ККЗ холдинга ~28 000 ₽/т; у кроликов ККЗ 958,5 млн в docx</t>
        </is>
      </c>
    </row>
    <row r="26">
      <c r="A26" s="58" t="inlineStr">
        <is>
          <t>Горизонт finmodel</t>
        </is>
      </c>
      <c r="B26" s="58" t="inlineStr">
        <is>
          <t>лет</t>
        </is>
      </c>
      <c r="C26" s="58" t="n">
        <v>10</v>
      </c>
      <c r="D26" s="58" t="inlineStr">
        <is>
          <t>2026–2035, лист «Экономика»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58" min="1" max="1"/>
    <col width="16" customWidth="1" style="58" min="2" max="2"/>
    <col width="14" customWidth="1" style="58" min="3" max="3"/>
    <col width="16" customWidth="1" style="58" min="4" max="4"/>
    <col width="12" customWidth="1" style="58" min="5" max="6"/>
    <col width="16" customWidth="1" style="58" min="7" max="7"/>
    <col width="14" customWidth="1" style="58" min="8" max="8"/>
  </cols>
  <sheetData>
    <row r="1" ht="15.75" customHeight="1" s="59">
      <c r="A1" s="69" t="inlineStr">
        <is>
          <t>ПОГОЛОВЬЕ, ЦИКЛЫ И ВЫХОД ПРОДУКЦИИ</t>
        </is>
      </c>
    </row>
    <row r="3" ht="39" customHeight="1" s="59">
      <c r="A3" s="73" t="inlineStr">
        <is>
          <t>Вид / продукт</t>
        </is>
      </c>
      <c r="B3" s="73" t="inlineStr">
        <is>
          <t>Единоврем. поголовье, гол.</t>
        </is>
      </c>
      <c r="C3" s="73" t="inlineStr">
        <is>
          <t>Оборотов/год</t>
        </is>
      </c>
      <c r="D3" s="73" t="inlineStr">
        <is>
          <t>Голов на убой/год</t>
        </is>
      </c>
      <c r="E3" s="73" t="inlineStr">
        <is>
          <t>Жив. масса, кг</t>
        </is>
      </c>
      <c r="F3" s="73" t="inlineStr">
        <is>
          <t>Убойный выход</t>
        </is>
      </c>
      <c r="G3" s="73" t="inlineStr">
        <is>
          <t>Мясо, т/год</t>
        </is>
      </c>
      <c r="H3" s="73" t="inlineStr">
        <is>
          <t>Падёж учтён</t>
        </is>
      </c>
    </row>
    <row r="4" ht="15" customHeight="1" s="59">
      <c r="A4" s="74" t="inlineStr">
        <is>
          <t>Бройлер ROSS 308</t>
        </is>
      </c>
      <c r="B4" s="78" t="n">
        <v>1440000</v>
      </c>
      <c r="C4" s="79" t="n">
        <v>6.5</v>
      </c>
      <c r="D4" s="78" t="n">
        <v>9079200</v>
      </c>
      <c r="E4" s="80" t="n">
        <v>2.5</v>
      </c>
      <c r="F4" s="81" t="n">
        <v>0.75</v>
      </c>
      <c r="G4" s="82">
        <f>D4*E4*F4/1000</f>
        <v/>
      </c>
      <c r="H4" s="83" t="inlineStr">
        <is>
          <t>3% падёж</t>
        </is>
      </c>
    </row>
    <row r="5" ht="15" customHeight="1" s="59">
      <c r="A5" s="74" t="inlineStr">
        <is>
          <t>Индейка BUT Big 6</t>
        </is>
      </c>
      <c r="B5" s="78" t="n">
        <v>30000</v>
      </c>
      <c r="C5" s="79" t="n">
        <v>2</v>
      </c>
      <c r="D5" s="78" t="n">
        <v>57600</v>
      </c>
      <c r="E5" s="80" t="n">
        <v>15</v>
      </c>
      <c r="F5" s="81" t="n">
        <v>0.78</v>
      </c>
      <c r="G5" s="82">
        <f>D5*E5*F5/1000</f>
        <v/>
      </c>
      <c r="H5" s="83" t="inlineStr">
        <is>
          <t>4% падёж</t>
        </is>
      </c>
    </row>
    <row r="6" ht="15" customHeight="1" s="59">
      <c r="A6" s="74" t="inlineStr">
        <is>
          <t>Утка Cherry Valley</t>
        </is>
      </c>
      <c r="B6" s="78" t="n">
        <v>20000</v>
      </c>
      <c r="C6" s="79" t="n">
        <v>5</v>
      </c>
      <c r="D6" s="78" t="n">
        <v>96000</v>
      </c>
      <c r="E6" s="80" t="n">
        <v>3.5</v>
      </c>
      <c r="F6" s="81" t="n">
        <v>0.75</v>
      </c>
      <c r="G6" s="82">
        <f>D6*E6*F6/1000</f>
        <v/>
      </c>
      <c r="H6" s="83" t="inlineStr">
        <is>
          <t>4% падёж</t>
        </is>
      </c>
    </row>
    <row r="7" ht="15" customHeight="1" s="59">
      <c r="A7" s="74" t="inlineStr">
        <is>
          <t>Гусь Линдовская</t>
        </is>
      </c>
      <c r="B7" s="78" t="n">
        <v>2400</v>
      </c>
      <c r="C7" s="79" t="n">
        <v>2</v>
      </c>
      <c r="D7" s="78" t="n">
        <v>4560</v>
      </c>
      <c r="E7" s="80" t="n">
        <v>6</v>
      </c>
      <c r="F7" s="81" t="n">
        <v>0.72</v>
      </c>
      <c r="G7" s="82">
        <f>D7*E7*F7/1000</f>
        <v/>
      </c>
      <c r="H7" s="83" t="inlineStr">
        <is>
          <t>5% падёж</t>
        </is>
      </c>
    </row>
    <row r="8" ht="15" customHeight="1" s="59">
      <c r="A8" s="74" t="inlineStr">
        <is>
          <t>Перепёл Фараон (мясо)</t>
        </is>
      </c>
      <c r="B8" s="78" t="n">
        <v>150000</v>
      </c>
      <c r="C8" s="79" t="n">
        <v>7</v>
      </c>
      <c r="D8" s="78" t="n">
        <v>1018500</v>
      </c>
      <c r="E8" s="80" t="n">
        <v>0.28</v>
      </c>
      <c r="F8" s="81" t="n">
        <v>0.7</v>
      </c>
      <c r="G8" s="82">
        <f>D8*E8*F8/1000</f>
        <v/>
      </c>
      <c r="H8" s="83" t="inlineStr">
        <is>
          <t>3% падёж</t>
        </is>
      </c>
    </row>
    <row r="9" ht="15" customHeight="1" s="59">
      <c r="A9" s="84" t="inlineStr">
        <is>
          <t>ИТОГО МЯСО ПТИЦЫ</t>
        </is>
      </c>
      <c r="B9" s="85" t="n"/>
      <c r="C9" s="85" t="n"/>
      <c r="D9" s="85" t="n"/>
      <c r="E9" s="85" t="n"/>
      <c r="F9" s="85" t="n"/>
      <c r="G9" s="86">
        <f>SUM(G4:G8)</f>
        <v/>
      </c>
      <c r="H9" s="85" t="n"/>
    </row>
    <row r="11" ht="15" customHeight="1" s="59">
      <c r="A11" s="72" t="inlineStr">
        <is>
          <t>ЯЙЦО</t>
        </is>
      </c>
    </row>
    <row r="12" ht="26.25" customHeight="1" s="59">
      <c r="A12" s="73" t="inlineStr">
        <is>
          <t>Продукт</t>
        </is>
      </c>
      <c r="B12" s="73" t="inlineStr">
        <is>
          <t>Несушек, гол.</t>
        </is>
      </c>
      <c r="C12" s="73" t="inlineStr">
        <is>
          <t>Яиц на несушку/год</t>
        </is>
      </c>
      <c r="D12" s="73" t="inlineStr">
        <is>
          <t>—</t>
        </is>
      </c>
      <c r="E12" s="73" t="inlineStr">
        <is>
          <t>—</t>
        </is>
      </c>
      <c r="F12" s="73" t="inlineStr">
        <is>
          <t>—</t>
        </is>
      </c>
      <c r="G12" s="73" t="inlineStr">
        <is>
          <t>Яиц, млн шт./год</t>
        </is>
      </c>
      <c r="H12" s="73" t="n"/>
    </row>
    <row r="13" ht="15" customHeight="1" s="59">
      <c r="A13" s="74" t="inlineStr">
        <is>
          <t>Куриное яйцо (Hisex/Lohmann)</t>
        </is>
      </c>
      <c r="B13" s="78" t="n">
        <v>480000</v>
      </c>
      <c r="C13" s="78" t="n">
        <v>320</v>
      </c>
      <c r="D13" s="75" t="n"/>
      <c r="E13" s="75" t="n"/>
      <c r="F13" s="75" t="n"/>
      <c r="G13" s="87">
        <f>B13*C13/1000000</f>
        <v/>
      </c>
      <c r="H13" s="75" t="n"/>
    </row>
    <row r="14" ht="15" customHeight="1" s="59">
      <c r="A14" s="74" t="inlineStr">
        <is>
          <t>Перепелиное яйцо (−90%)</t>
        </is>
      </c>
      <c r="B14" s="78" t="n">
        <v>25000</v>
      </c>
      <c r="C14" s="78" t="n">
        <v>280</v>
      </c>
      <c r="D14" s="75" t="n"/>
      <c r="E14" s="75" t="n"/>
      <c r="F14" s="75" t="n"/>
      <c r="G14" s="87">
        <f>B14*C14/1000000</f>
        <v/>
      </c>
      <c r="H14" s="7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2" customWidth="1" style="58" min="1" max="1"/>
    <col width="12" customWidth="1" style="58" min="2" max="2"/>
    <col width="8" customWidth="1" style="58" min="3" max="3"/>
    <col width="12" customWidth="1" style="58" min="4" max="4"/>
    <col width="18" customWidth="1" style="58" min="5" max="5"/>
    <col width="10" customWidth="1" style="58" min="6" max="6"/>
  </cols>
  <sheetData>
    <row r="1" ht="15.75" customHeight="1" s="59">
      <c r="A1" s="69" t="inlineStr">
        <is>
          <t>ВЫРУЧКА ПРИ ПОЛНОЙ МОЩНОСТИ</t>
        </is>
      </c>
    </row>
    <row r="3" ht="26.25" customHeight="1" s="59">
      <c r="A3" s="73" t="inlineStr">
        <is>
          <t>Направление</t>
        </is>
      </c>
      <c r="B3" s="73" t="inlineStr">
        <is>
          <t>Объём</t>
        </is>
      </c>
      <c r="C3" s="73" t="inlineStr">
        <is>
          <t>Ед.</t>
        </is>
      </c>
      <c r="D3" s="73" t="inlineStr">
        <is>
          <t>Цена, ₽/ед.</t>
        </is>
      </c>
      <c r="E3" s="73" t="inlineStr">
        <is>
          <t>Выручка, млн ₽/год</t>
        </is>
      </c>
      <c r="F3" s="73" t="inlineStr">
        <is>
          <t>Доля</t>
        </is>
      </c>
    </row>
    <row r="4" ht="15" customHeight="1" s="59">
      <c r="A4" s="74" t="inlineStr">
        <is>
          <t>Бройлер (мясо)</t>
        </is>
      </c>
      <c r="B4" s="88">
        <f>Продукция!G4</f>
        <v/>
      </c>
      <c r="C4" s="75" t="inlineStr">
        <is>
          <t>т</t>
        </is>
      </c>
      <c r="D4" s="88">
        <f>Допущения!$C$7</f>
        <v/>
      </c>
      <c r="E4" s="89">
        <f>B4*D4*1000/1000000</f>
        <v/>
      </c>
      <c r="F4" s="90">
        <f>E4/Выручка!$E$13</f>
        <v/>
      </c>
    </row>
    <row r="5" ht="15" customHeight="1" s="59">
      <c r="A5" s="74" t="inlineStr">
        <is>
          <t>Индейка (мясо)</t>
        </is>
      </c>
      <c r="B5" s="88">
        <f>Продукция!G5</f>
        <v/>
      </c>
      <c r="C5" s="75" t="inlineStr">
        <is>
          <t>т</t>
        </is>
      </c>
      <c r="D5" s="88">
        <f>Допущения!$C$8</f>
        <v/>
      </c>
      <c r="E5" s="89">
        <f>B5*D5*1000/1000000</f>
        <v/>
      </c>
      <c r="F5" s="90">
        <f>E5/Выручка!$E$13</f>
        <v/>
      </c>
    </row>
    <row r="6" ht="15" customHeight="1" s="59">
      <c r="A6" s="74" t="inlineStr">
        <is>
          <t>Утка (мясо)</t>
        </is>
      </c>
      <c r="B6" s="88">
        <f>Продукция!G6</f>
        <v/>
      </c>
      <c r="C6" s="75" t="inlineStr">
        <is>
          <t>т</t>
        </is>
      </c>
      <c r="D6" s="88">
        <f>Допущения!$C$9</f>
        <v/>
      </c>
      <c r="E6" s="89">
        <f>B6*D6*1000/1000000</f>
        <v/>
      </c>
      <c r="F6" s="90">
        <f>E6/Выручка!$E$13</f>
        <v/>
      </c>
    </row>
    <row r="7" ht="15" customHeight="1" s="59">
      <c r="A7" s="74" t="inlineStr">
        <is>
          <t>Гусь (мясо)</t>
        </is>
      </c>
      <c r="B7" s="88">
        <f>Продукция!G7</f>
        <v/>
      </c>
      <c r="C7" s="75" t="inlineStr">
        <is>
          <t>т</t>
        </is>
      </c>
      <c r="D7" s="88">
        <f>Допущения!$C$10</f>
        <v/>
      </c>
      <c r="E7" s="89">
        <f>B7*D7*1000/1000000</f>
        <v/>
      </c>
      <c r="F7" s="90">
        <f>E7/Выручка!$E$13</f>
        <v/>
      </c>
    </row>
    <row r="8" ht="15" customHeight="1" s="59">
      <c r="A8" s="74" t="inlineStr">
        <is>
          <t>Перепёл (мясо)</t>
        </is>
      </c>
      <c r="B8" s="88">
        <f>Продукция!G8</f>
        <v/>
      </c>
      <c r="C8" s="75" t="inlineStr">
        <is>
          <t>т</t>
        </is>
      </c>
      <c r="D8" s="88">
        <f>Допущения!$C$11</f>
        <v/>
      </c>
      <c r="E8" s="89">
        <f>B8*D8*1000/1000000</f>
        <v/>
      </c>
      <c r="F8" s="90">
        <f>E8/Выручка!$E$13</f>
        <v/>
      </c>
    </row>
    <row r="9" ht="15" customHeight="1" s="59">
      <c r="A9" s="74" t="inlineStr">
        <is>
          <t>Куриное яйцо</t>
        </is>
      </c>
      <c r="B9" s="88">
        <f>Продукция!$G$13</f>
        <v/>
      </c>
      <c r="C9" s="75" t="inlineStr">
        <is>
          <t>млн шт</t>
        </is>
      </c>
      <c r="D9" s="88">
        <f>Допущения!$C$12</f>
        <v/>
      </c>
      <c r="E9" s="89">
        <f>B9*D9*1000000/1000000</f>
        <v/>
      </c>
      <c r="F9" s="90">
        <f>E9/Выручка!$E$13</f>
        <v/>
      </c>
    </row>
    <row r="10" ht="15" customHeight="1" s="59">
      <c r="A10" s="74" t="inlineStr">
        <is>
          <t>Перепелиное яйцо</t>
        </is>
      </c>
      <c r="B10" s="88">
        <f>Продукция!$G$14</f>
        <v/>
      </c>
      <c r="C10" s="75" t="inlineStr">
        <is>
          <t>млн шт</t>
        </is>
      </c>
      <c r="D10" s="88">
        <f>Допущения!$C$13</f>
        <v/>
      </c>
      <c r="E10" s="89">
        <f>B10*D10*1000000/1000000</f>
        <v/>
      </c>
      <c r="F10" s="90">
        <f>E10/Выручка!$E$13</f>
        <v/>
      </c>
    </row>
    <row r="11" ht="15" customHeight="1" s="59">
      <c r="A11" s="91" t="inlineStr">
        <is>
          <t>Побочная продукция (перьевая/кровяная мука, жир)</t>
        </is>
      </c>
      <c r="B11" s="92" t="n"/>
      <c r="C11" s="92" t="n"/>
      <c r="D11" s="92" t="n"/>
      <c r="E11" s="93" t="n">
        <v>25</v>
      </c>
      <c r="F11" s="94">
        <f>E11/Выручка!$E$13</f>
        <v/>
      </c>
    </row>
    <row r="12" ht="15" customHeight="1" s="59">
      <c r="A12" s="58" t="inlineStr">
        <is>
          <t>Удобрение из помёта (43 800 т/год × 12 ₽/кг, этalon кроликов tab#205)</t>
        </is>
      </c>
      <c r="B12" s="58" t="n">
        <v>43800</v>
      </c>
      <c r="C12" s="58" t="inlineStr">
        <is>
          <t>т</t>
        </is>
      </c>
      <c r="D12" s="58" t="n">
        <v>12</v>
      </c>
      <c r="E12" s="58">
        <f>B12*D12*1000/1000000</f>
        <v/>
      </c>
      <c r="F12" s="58">
        <f>E12/Выручка!$E$13</f>
        <v/>
      </c>
    </row>
    <row r="13">
      <c r="A13" s="84" t="inlineStr">
        <is>
          <t>ИТОГО ВЫРУЧКА</t>
        </is>
      </c>
      <c r="B13" s="85" t="n"/>
      <c r="C13" s="85" t="n"/>
      <c r="D13" s="85" t="n"/>
      <c r="E13" s="95">
        <f>SUM(E4:E12)</f>
        <v/>
      </c>
      <c r="F13" s="96">
        <f>SUM(F4:F12)</f>
        <v/>
      </c>
    </row>
    <row r="14" ht="15" customHeight="1" s="59">
      <c r="E14" s="58">
        <f>(E4+E9+E10)/Выручка!$E$13</f>
        <v/>
      </c>
    </row>
    <row r="15">
      <c r="A15" s="97" t="inlineStr">
        <is>
          <t>Справочно: доля «бройлер + яйцо» в выручке</t>
        </is>
      </c>
      <c r="E15" s="98">
        <f>(E4+E9+E10)/Выручка!$E$13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58" min="1" max="1"/>
    <col width="26" customWidth="1" style="58" min="2" max="2"/>
    <col width="20" customWidth="1" style="58" min="3" max="3"/>
    <col width="16" customWidth="1" style="58" min="4" max="4"/>
    <col width="12" customWidth="1" style="58" min="5" max="5"/>
  </cols>
  <sheetData>
    <row r="1" ht="15.75" customHeight="1" s="59">
      <c r="A1" s="69" t="inlineStr">
        <is>
          <t>БАЛАНС КОМБИКОРМОВ</t>
        </is>
      </c>
    </row>
    <row r="2" ht="15" customHeight="1" s="59">
      <c r="A2" s="70" t="inlineStr">
        <is>
          <t>Корм производится на комбикормовом заводе холдинга (мощность ~300 тыс. т/год). Потребность птицеводства — доля от завода.</t>
        </is>
      </c>
    </row>
    <row r="4" ht="26.25" customHeight="1" s="59">
      <c r="A4" s="73" t="inlineStr">
        <is>
          <t>Группа</t>
        </is>
      </c>
      <c r="B4" s="73" t="inlineStr">
        <is>
          <t>Посажено/содержится, гол./год</t>
        </is>
      </c>
      <c r="C4" s="73" t="inlineStr">
        <is>
          <t>Расход корма, кг/гол.</t>
        </is>
      </c>
      <c r="D4" s="73" t="inlineStr">
        <is>
          <t>Корма, т/год</t>
        </is>
      </c>
      <c r="E4" s="73" t="inlineStr">
        <is>
          <t>% от итога</t>
        </is>
      </c>
    </row>
    <row r="5" ht="15" customHeight="1" s="59">
      <c r="A5" s="74" t="inlineStr">
        <is>
          <t>Бройлер</t>
        </is>
      </c>
      <c r="B5" s="78" t="n">
        <v>9360000</v>
      </c>
      <c r="C5" s="99" t="n">
        <v>4.5</v>
      </c>
      <c r="D5" s="82">
        <f>B5*C5/1000</f>
        <v/>
      </c>
      <c r="E5" s="100">
        <f>D5/Корма!$D$12</f>
        <v/>
      </c>
    </row>
    <row r="6" ht="15" customHeight="1" s="59">
      <c r="A6" s="74" t="inlineStr">
        <is>
          <t>Индейка</t>
        </is>
      </c>
      <c r="B6" s="78" t="n">
        <v>60000</v>
      </c>
      <c r="C6" s="99" t="n">
        <v>39</v>
      </c>
      <c r="D6" s="82">
        <f>B6*C6/1000</f>
        <v/>
      </c>
      <c r="E6" s="100">
        <f>D6/Корма!$D$12</f>
        <v/>
      </c>
    </row>
    <row r="7" ht="15" customHeight="1" s="59">
      <c r="A7" s="74" t="inlineStr">
        <is>
          <t>Утка</t>
        </is>
      </c>
      <c r="B7" s="78" t="n">
        <v>100000</v>
      </c>
      <c r="C7" s="99" t="n">
        <v>9.800000000000001</v>
      </c>
      <c r="D7" s="82">
        <f>B7*C7/1000</f>
        <v/>
      </c>
      <c r="E7" s="100">
        <f>D7/Корма!$D$12</f>
        <v/>
      </c>
    </row>
    <row r="8" ht="15" customHeight="1" s="59">
      <c r="A8" s="74" t="inlineStr">
        <is>
          <t>Гусь</t>
        </is>
      </c>
      <c r="B8" s="78" t="n">
        <v>4800</v>
      </c>
      <c r="C8" s="99" t="n">
        <v>19.2</v>
      </c>
      <c r="D8" s="82">
        <f>B8*C8/1000</f>
        <v/>
      </c>
      <c r="E8" s="100">
        <f>D8/Корма!$D$12</f>
        <v/>
      </c>
    </row>
    <row r="9" ht="15" customHeight="1" s="59">
      <c r="A9" s="74" t="inlineStr">
        <is>
          <t>Перепёл мясной</t>
        </is>
      </c>
      <c r="B9" s="78" t="n">
        <v>1050000</v>
      </c>
      <c r="C9" s="99" t="n">
        <v>0.78</v>
      </c>
      <c r="D9" s="82">
        <f>B9*C9/1000</f>
        <v/>
      </c>
      <c r="E9" s="100">
        <f>D9/Корма!$D$12</f>
        <v/>
      </c>
    </row>
    <row r="10" ht="15" customHeight="1" s="59">
      <c r="A10" s="74" t="inlineStr">
        <is>
          <t>Куры-несушки</t>
        </is>
      </c>
      <c r="B10" s="78" t="n">
        <v>480000</v>
      </c>
      <c r="C10" s="99" t="n">
        <v>42</v>
      </c>
      <c r="D10" s="82">
        <f>B10*C10/1000</f>
        <v/>
      </c>
      <c r="E10" s="100">
        <f>D10/Корма!$D$12</f>
        <v/>
      </c>
    </row>
    <row r="11" ht="15" customHeight="1" s="59">
      <c r="A11" s="74" t="inlineStr">
        <is>
          <t>Перепелиные несушки</t>
        </is>
      </c>
      <c r="B11" s="78" t="n">
        <v>25000</v>
      </c>
      <c r="C11" s="99" t="n">
        <v>8.029999999999999</v>
      </c>
      <c r="D11" s="82">
        <f>B11*C11/1000</f>
        <v/>
      </c>
      <c r="E11" s="100">
        <f>D11/Корма!$D$12</f>
        <v/>
      </c>
    </row>
    <row r="12" ht="15" customHeight="1" s="59">
      <c r="A12" s="84" t="inlineStr">
        <is>
          <t>ИТОГО КОРМА</t>
        </is>
      </c>
      <c r="B12" s="85" t="n"/>
      <c r="C12" s="85" t="n"/>
      <c r="D12" s="86">
        <f>SUM(D5:D11)</f>
        <v/>
      </c>
      <c r="E12" s="85" t="n"/>
    </row>
    <row r="14" ht="15" customHeight="1" s="59">
      <c r="A14" s="72" t="inlineStr">
        <is>
          <t>Затраты на корма, млн ₽/год</t>
        </is>
      </c>
      <c r="D14" s="101">
        <f>Корма!$D$12*Допущения!$C$14/1000000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8" customWidth="1" style="58" min="1" max="1"/>
    <col width="10" customWidth="1" style="58" min="2" max="2"/>
    <col width="16" customWidth="1" style="58" min="3" max="3"/>
    <col width="14" customWidth="1" style="58" min="4" max="4"/>
    <col width="18" customWidth="1" style="58" min="5" max="5"/>
  </cols>
  <sheetData>
    <row r="1" ht="15.75" customHeight="1" s="59">
      <c r="A1" s="69" t="inlineStr">
        <is>
          <t>КАПИТАЛЬНЫЕ ЗАТРАТЫ (CAPEX) — 12 000 млн ₽</t>
        </is>
      </c>
    </row>
    <row r="3" ht="26.25" customHeight="1" s="59">
      <c r="A3" s="73" t="inlineStr">
        <is>
          <t>Объект / статья</t>
        </is>
      </c>
      <c r="B3" s="73" t="inlineStr">
        <is>
          <t>Кол-во, ед.</t>
        </is>
      </c>
      <c r="C3" s="73" t="inlineStr">
        <is>
          <t>Стоимость ед., млн ₽</t>
        </is>
      </c>
      <c r="D3" s="73" t="inlineStr">
        <is>
          <t>Сумма, млн ₽</t>
        </is>
      </c>
      <c r="E3" s="73" t="inlineStr">
        <is>
          <t>Группа</t>
        </is>
      </c>
    </row>
    <row r="4" ht="15" customHeight="1" s="59">
      <c r="A4" s="74" t="inlineStr">
        <is>
          <t>Бройлерные птичники (18 000 гол., 2 000 м²)</t>
        </is>
      </c>
      <c r="B4" s="102" t="n">
        <v>80</v>
      </c>
      <c r="C4" s="103" t="n">
        <v>25</v>
      </c>
      <c r="D4" s="82">
        <f>B4*C4</f>
        <v/>
      </c>
      <c r="E4" s="104" t="inlineStr">
        <is>
          <t>Бройлер+яйцо</t>
        </is>
      </c>
    </row>
    <row r="5" ht="15" customHeight="1" s="59">
      <c r="A5" s="74" t="inlineStr">
        <is>
          <t>Птичники кур-несушек (80 000 гол., клеточные)</t>
        </is>
      </c>
      <c r="B5" s="102" t="n">
        <v>6</v>
      </c>
      <c r="C5" s="103" t="n">
        <v>60</v>
      </c>
      <c r="D5" s="82">
        <f>B5*C5</f>
        <v/>
      </c>
      <c r="E5" s="104" t="inlineStr">
        <is>
          <t>Бройлер+яйцо</t>
        </is>
      </c>
    </row>
    <row r="6" ht="15" customHeight="1" s="59">
      <c r="A6" s="74" t="inlineStr">
        <is>
          <t>Цех сортировки и упаковки яйца</t>
        </is>
      </c>
      <c r="B6" s="102" t="n">
        <v>1</v>
      </c>
      <c r="C6" s="103" t="n">
        <v>45</v>
      </c>
      <c r="D6" s="82">
        <f>B6*C6</f>
        <v/>
      </c>
      <c r="E6" s="104" t="inlineStr">
        <is>
          <t>Бройлер+яйцо</t>
        </is>
      </c>
    </row>
    <row r="7" ht="15" customHeight="1" s="59">
      <c r="A7" s="74" t="inlineStr">
        <is>
          <t>Индюшиные птичники (2 500 гол.)</t>
        </is>
      </c>
      <c r="B7" s="102" t="n">
        <v>12</v>
      </c>
      <c r="C7" s="103" t="n">
        <v>35</v>
      </c>
      <c r="D7" s="82">
        <f>B7*C7</f>
        <v/>
      </c>
      <c r="E7" s="104" t="inlineStr">
        <is>
          <t>Прочие виды</t>
        </is>
      </c>
    </row>
    <row r="8" ht="15" customHeight="1" s="59">
      <c r="A8" s="74" t="inlineStr">
        <is>
          <t>Утиные птичники (2 000 гол.)</t>
        </is>
      </c>
      <c r="B8" s="102" t="n">
        <v>10</v>
      </c>
      <c r="C8" s="103" t="n">
        <v>22</v>
      </c>
      <c r="D8" s="82">
        <f>B8*C8</f>
        <v/>
      </c>
      <c r="E8" s="104" t="inlineStr">
        <is>
          <t>Прочие виды</t>
        </is>
      </c>
    </row>
    <row r="9" ht="15" customHeight="1" s="59">
      <c r="A9" s="74" t="inlineStr">
        <is>
          <t>Гусиные птичники (400 гол.)</t>
        </is>
      </c>
      <c r="B9" s="102" t="n">
        <v>6</v>
      </c>
      <c r="C9" s="103" t="n">
        <v>15</v>
      </c>
      <c r="D9" s="82">
        <f>B9*C9</f>
        <v/>
      </c>
      <c r="E9" s="104" t="inlineStr">
        <is>
          <t>Прочие виды</t>
        </is>
      </c>
    </row>
    <row r="10" ht="15" customHeight="1" s="59">
      <c r="A10" s="74" t="inlineStr">
        <is>
          <t>Перепелиные модули мясные (50 000 гол.)</t>
        </is>
      </c>
      <c r="B10" s="102" t="n">
        <v>3</v>
      </c>
      <c r="C10" s="103" t="n">
        <v>90</v>
      </c>
      <c r="D10" s="82">
        <f>B10*C10</f>
        <v/>
      </c>
      <c r="E10" s="104" t="inlineStr">
        <is>
          <t>Прочие виды</t>
        </is>
      </c>
    </row>
    <row r="11" ht="15" customHeight="1" s="59">
      <c r="A11" s="74" t="inlineStr">
        <is>
          <t>Перепелиные несушки (25 000 гол., ½ модуля)</t>
        </is>
      </c>
      <c r="B11" s="102" t="n">
        <v>1</v>
      </c>
      <c r="C11" s="103" t="n">
        <v>45</v>
      </c>
      <c r="D11" s="82">
        <f>B11*C11</f>
        <v/>
      </c>
      <c r="E11" s="104" t="inlineStr">
        <is>
          <t>Прочие виды</t>
        </is>
      </c>
    </row>
    <row r="12" ht="15" customHeight="1" s="59">
      <c r="A12" s="74" t="inlineStr">
        <is>
          <t>Инкубаторий (500 000 яиц/нед.)</t>
        </is>
      </c>
      <c r="B12" s="102" t="n">
        <v>1</v>
      </c>
      <c r="C12" s="103" t="n">
        <v>600</v>
      </c>
      <c r="D12" s="82">
        <f>B12*C12</f>
        <v/>
      </c>
      <c r="E12" s="104" t="inlineStr">
        <is>
          <t>Общая инфраструктура</t>
        </is>
      </c>
    </row>
    <row r="13" ht="15" customHeight="1" s="59">
      <c r="A13" s="74" t="inlineStr">
        <is>
          <t>Убойно-перерабатывающий комплекс</t>
        </is>
      </c>
      <c r="B13" s="102" t="n">
        <v>1</v>
      </c>
      <c r="C13" s="103" t="n">
        <v>2600</v>
      </c>
      <c r="D13" s="82">
        <f>B13*C13</f>
        <v/>
      </c>
      <c r="E13" s="104" t="inlineStr">
        <is>
          <t>Общая инфраструктура</t>
        </is>
      </c>
    </row>
    <row r="14" ht="15" customHeight="1" s="59">
      <c r="A14" s="74" t="inlineStr">
        <is>
          <t>Холодильный склад (4 000 т)</t>
        </is>
      </c>
      <c r="B14" s="102" t="n">
        <v>1</v>
      </c>
      <c r="C14" s="103" t="n">
        <v>800</v>
      </c>
      <c r="D14" s="82">
        <f>B14*C14</f>
        <v/>
      </c>
      <c r="E14" s="104" t="inlineStr">
        <is>
          <t>Общая инфраструктура</t>
        </is>
      </c>
    </row>
    <row r="15" ht="15" customHeight="1" s="59">
      <c r="A15" s="74" t="inlineStr">
        <is>
          <t>Склады кормов и приёмка (силосы)</t>
        </is>
      </c>
      <c r="B15" s="102" t="n">
        <v>1</v>
      </c>
      <c r="C15" s="103" t="n">
        <v>450</v>
      </c>
      <c r="D15" s="82">
        <f>B15*C15</f>
        <v/>
      </c>
      <c r="E15" s="104" t="inlineStr">
        <is>
          <t>Общая инфраструктура</t>
        </is>
      </c>
    </row>
    <row r="16" ht="15" customHeight="1" s="59">
      <c r="A16" s="74" t="inlineStr">
        <is>
          <t>Солнечные панели 10 МВт·ч (эталон кроликов, tab#23 docx)</t>
        </is>
      </c>
      <c r="B16" s="102" t="n">
        <v>1</v>
      </c>
      <c r="C16" s="103" t="n">
        <v>1180.8</v>
      </c>
      <c r="D16" s="82" t="n">
        <v>1180.8</v>
      </c>
      <c r="E16" s="104" t="inlineStr">
        <is>
          <t>Общая инфраструктура</t>
        </is>
      </c>
    </row>
    <row r="17" ht="15" customHeight="1" s="59">
      <c r="A17" s="58" t="inlineStr">
        <is>
          <t>Установка компостирования помёта 5 т/ч (эталон кроликов)</t>
        </is>
      </c>
      <c r="B17" s="58" t="n">
        <v>1</v>
      </c>
      <c r="C17" s="58" t="n">
        <v>36</v>
      </c>
      <c r="D17" s="58" t="n">
        <v>36</v>
      </c>
      <c r="E17" s="58" t="inlineStr">
        <is>
          <t>Общая инфраструктура</t>
        </is>
      </c>
    </row>
    <row r="18" ht="15" customHeight="1" s="59">
      <c r="A18" s="74" t="inlineStr">
        <is>
          <t>Инженерные сети, ЛЭП, подстанция</t>
        </is>
      </c>
      <c r="B18" s="102" t="n">
        <v>1</v>
      </c>
      <c r="C18" s="103" t="n">
        <v>750</v>
      </c>
      <c r="D18" s="82">
        <f>B17*C17</f>
        <v/>
      </c>
      <c r="E18" s="104" t="inlineStr">
        <is>
          <t>Общая инфраструктура</t>
        </is>
      </c>
    </row>
    <row r="19" ht="15" customHeight="1" s="59">
      <c r="A19" s="74" t="inlineStr">
        <is>
          <t>Водоснабжение, скважины, очистные</t>
        </is>
      </c>
      <c r="B19" s="102" t="n">
        <v>1</v>
      </c>
      <c r="C19" s="103" t="n">
        <v>300</v>
      </c>
      <c r="D19" s="82">
        <f>B18*C18</f>
        <v/>
      </c>
      <c r="E19" s="104" t="inlineStr">
        <is>
          <t>Общая инфраструктура</t>
        </is>
      </c>
    </row>
    <row r="20" ht="15" customHeight="1" s="59">
      <c r="A20" s="74" t="inlineStr">
        <is>
          <t>Дороги, благоустройство, ограждение</t>
        </is>
      </c>
      <c r="B20" s="102" t="n">
        <v>1</v>
      </c>
      <c r="C20" s="103" t="n">
        <v>183</v>
      </c>
      <c r="D20" s="82">
        <f>B19*C19</f>
        <v/>
      </c>
      <c r="E20" s="104" t="inlineStr">
        <is>
          <t>Общая инфраструктура</t>
        </is>
      </c>
    </row>
    <row r="21" ht="15" customHeight="1" s="59">
      <c r="A21" s="74" t="inlineStr">
        <is>
          <t>Ветблок, лаборатория, АБК, противопожарная</t>
        </is>
      </c>
      <c r="B21" s="102" t="n">
        <v>1</v>
      </c>
      <c r="C21" s="103" t="n">
        <v>450</v>
      </c>
      <c r="D21" s="82">
        <f>B20*C20</f>
        <v/>
      </c>
      <c r="E21" s="104" t="inlineStr">
        <is>
          <t>Общая инфраструктура</t>
        </is>
      </c>
    </row>
    <row r="22" ht="15" customHeight="1" s="59">
      <c r="A22" s="74" t="inlineStr">
        <is>
          <t>Родительское стадо и стартовый молодняк</t>
        </is>
      </c>
      <c r="B22" s="102" t="n">
        <v>1</v>
      </c>
      <c r="C22" s="103" t="n">
        <v>250</v>
      </c>
      <c r="D22" s="82">
        <f>B21*C21</f>
        <v/>
      </c>
      <c r="E22" s="104" t="inlineStr">
        <is>
          <t>Общая инфраструктура</t>
        </is>
      </c>
    </row>
    <row r="23" ht="15" customHeight="1" s="59">
      <c r="A23" s="74" t="inlineStr">
        <is>
          <t>Спецтехника, SCADA, IT</t>
        </is>
      </c>
      <c r="B23" s="102" t="n">
        <v>1</v>
      </c>
      <c r="C23" s="103" t="n">
        <v>350</v>
      </c>
      <c r="D23" s="82">
        <f>B22*C22</f>
        <v/>
      </c>
      <c r="E23" s="104" t="inlineStr">
        <is>
          <t>Общая инфраструктура</t>
        </is>
      </c>
    </row>
    <row r="24" ht="15" customHeight="1" s="59">
      <c r="A24" s="74" t="inlineStr">
        <is>
          <t>Проектирование, изыскания, пусконаладка</t>
        </is>
      </c>
      <c r="B24" s="102" t="n">
        <v>1</v>
      </c>
      <c r="C24" s="103" t="n">
        <v>450</v>
      </c>
      <c r="D24" s="82">
        <f>B23*C23</f>
        <v/>
      </c>
      <c r="E24" s="104" t="inlineStr">
        <is>
          <t>Общая инфраструктура</t>
        </is>
      </c>
    </row>
    <row r="25" ht="15" customHeight="1" s="59">
      <c r="A25" s="74" t="inlineStr">
        <is>
          <t>Резерв (непредвиденные)</t>
        </is>
      </c>
      <c r="B25" s="102" t="n">
        <v>1</v>
      </c>
      <c r="C25" s="103" t="n">
        <v>33</v>
      </c>
      <c r="D25" s="82">
        <f>12000-SUM(D4:D24)</f>
        <v/>
      </c>
      <c r="E25" s="104" t="inlineStr">
        <is>
          <t>Общая инфраструктура</t>
        </is>
      </c>
    </row>
    <row r="26">
      <c r="A26" s="84" t="inlineStr">
        <is>
          <t>ИТОГО CAPEX</t>
        </is>
      </c>
      <c r="B26" s="85" t="n"/>
      <c r="C26" s="85" t="n"/>
      <c r="D26" s="86">
        <f>SUM(D4:D25)</f>
        <v/>
      </c>
      <c r="E26" s="85" t="n"/>
    </row>
    <row r="27" ht="15" customHeight="1" s="59"/>
    <row r="28" ht="15" customHeight="1" s="59">
      <c r="A28" s="105" t="inlineStr">
        <is>
          <t>Бройлер+яйцо (направление)</t>
        </is>
      </c>
      <c r="D28" s="106">
        <f>SUMIF($E$4:$E$24,"Бройлер+яйцо",$D$4:$D$24)</f>
        <v/>
      </c>
    </row>
    <row r="29" ht="15" customHeight="1" s="59">
      <c r="A29" s="105" t="inlineStr">
        <is>
          <t>Прочие виды (направление)</t>
        </is>
      </c>
      <c r="D29" s="106">
        <f>SUMIF($E$4:$E$24,"Прочие виды",$D$4:$D$24)</f>
        <v/>
      </c>
    </row>
    <row r="30" ht="15" customHeight="1" s="59">
      <c r="A30" s="105" t="inlineStr">
        <is>
          <t>Общая инфраструктура</t>
        </is>
      </c>
      <c r="D30" s="106">
        <f>SUMIF($E$4:$E$24,"Общая инфраструктура",$D$4:$D$24)</f>
        <v/>
      </c>
    </row>
    <row r="31">
      <c r="A31" s="97" t="inlineStr">
        <is>
          <t>Доля «бройлер+яйцо» в направлениях (без общей инфр.)</t>
        </is>
      </c>
      <c r="D31" s="98">
        <f>D27/(D27+D28)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58" min="1" max="1"/>
    <col width="16" customWidth="1" style="58" min="2" max="2"/>
    <col width="10" customWidth="1" style="58" min="3" max="3"/>
    <col width="46" customWidth="1" style="58" min="4" max="4"/>
  </cols>
  <sheetData>
    <row r="1" ht="15.75" customHeight="1" s="59">
      <c r="A1" s="69" t="inlineStr">
        <is>
          <t>ЭКСПЛУАТАЦИОННЫЕ ЗАТРАТЫ (OPEX) ПРИ ПОЛНОЙ МОЩНОСТИ</t>
        </is>
      </c>
    </row>
    <row r="3" ht="26.25" customHeight="1" s="59">
      <c r="A3" s="73" t="inlineStr">
        <is>
          <t>Статья затрат</t>
        </is>
      </c>
      <c r="B3" s="73" t="inlineStr">
        <is>
          <t>Сумма, млн ₽/год</t>
        </is>
      </c>
      <c r="C3" s="73" t="inlineStr">
        <is>
          <t>Доля</t>
        </is>
      </c>
      <c r="D3" s="73" t="inlineStr">
        <is>
          <t>Комментарий</t>
        </is>
      </c>
    </row>
    <row r="4" ht="15" customHeight="1" s="59">
      <c r="A4" s="74" t="inlineStr">
        <is>
          <t>Корма</t>
        </is>
      </c>
      <c r="B4" s="107">
        <f>Корма!$D$14</f>
        <v/>
      </c>
      <c r="C4" s="90">
        <f>B4/OPEX!$B$13</f>
        <v/>
      </c>
      <c r="D4" s="77" t="inlineStr">
        <is>
          <t>66,7 тыс. т × 28 000 ₽/т (собств. завод холдинга)</t>
        </is>
      </c>
    </row>
    <row r="5" ht="26.25" customHeight="1" s="59">
      <c r="A5" s="74" t="inlineStr">
        <is>
          <t>Суточный молодняк, инкуб. яйцо, ремонт стада</t>
        </is>
      </c>
      <c r="B5" s="108" t="n">
        <v>280</v>
      </c>
      <c r="C5" s="90">
        <f>B5/OPEX!$B$13</f>
        <v/>
      </c>
      <c r="D5" s="77" t="inlineStr">
        <is>
          <t>закупка/воспроизводство</t>
        </is>
      </c>
    </row>
    <row r="6" ht="15" customHeight="1" s="59">
      <c r="A6" s="74" t="inlineStr">
        <is>
          <t>ФОТ с отчислениями (страховые ~30%)</t>
        </is>
      </c>
      <c r="B6" s="108" t="n">
        <v>520</v>
      </c>
      <c r="C6" s="90">
        <f>B6/OPEX!$B$13</f>
        <v/>
      </c>
      <c r="D6" s="77" t="inlineStr">
        <is>
          <t>480 раб. мест; см. «Штат»</t>
        </is>
      </c>
    </row>
    <row r="7" ht="15" customHeight="1" s="59">
      <c r="A7" s="74" t="inlineStr">
        <is>
          <t>Ветпрепараты, вакцины, биозащита</t>
        </is>
      </c>
      <c r="B7" s="108" t="n">
        <v>75</v>
      </c>
      <c r="C7" s="90">
        <f>B7/OPEX!$B$13</f>
        <v/>
      </c>
      <c r="D7" s="77" t="n"/>
    </row>
    <row r="8" ht="15" customHeight="1" s="59">
      <c r="A8" s="74" t="inlineStr">
        <is>
          <t>Электроэнергия (покупная) — не применяется</t>
        </is>
      </c>
      <c r="B8" s="108" t="n">
        <v>0</v>
      </c>
      <c r="C8" s="90">
        <f>B8/OPEX!$B$13</f>
        <v/>
      </c>
      <c r="D8" s="77" t="inlineStr">
        <is>
          <t>эталон кроликов: solar 10 МВт·ч + биogaz APK 20 МВт·ч; см. energy-budget.yaml</t>
        </is>
      </c>
    </row>
    <row r="9" ht="15" customHeight="1" s="59">
      <c r="A9" s="74" t="inlineStr">
        <is>
          <t>Упаковка (мясо + яйцо)</t>
        </is>
      </c>
      <c r="B9" s="108" t="n">
        <v>190</v>
      </c>
      <c r="C9" s="90">
        <f>B9/OPEX!$B$13</f>
        <v/>
      </c>
      <c r="D9" s="77" t="n"/>
    </row>
    <row r="10" ht="15" customHeight="1" s="59">
      <c r="A10" s="74" t="inlineStr">
        <is>
          <t>Ремонт и ТО оборудования</t>
        </is>
      </c>
      <c r="B10" s="108" t="n">
        <v>240</v>
      </c>
      <c r="C10" s="90">
        <f>B10/OPEX!$B$13</f>
        <v/>
      </c>
      <c r="D10" s="77" t="inlineStr">
        <is>
          <t>~2% от CAPEX оборудования</t>
        </is>
      </c>
    </row>
    <row r="11" ht="15" customHeight="1" s="59">
      <c r="A11" s="74" t="inlineStr">
        <is>
          <t>Транспорт и логистика</t>
        </is>
      </c>
      <c r="B11" s="108" t="n">
        <v>60</v>
      </c>
      <c r="C11" s="90">
        <f>B11/OPEX!$B$13</f>
        <v/>
      </c>
      <c r="D11" s="77" t="n"/>
    </row>
    <row r="12" ht="15" customHeight="1" s="59">
      <c r="A12" s="74" t="inlineStr">
        <is>
          <t>Общехозяйственные и прочие</t>
        </is>
      </c>
      <c r="B12" s="108" t="n">
        <v>110</v>
      </c>
      <c r="C12" s="90">
        <f>B12/OPEX!$B$13</f>
        <v/>
      </c>
      <c r="D12" s="77" t="n"/>
    </row>
    <row r="13" ht="15" customHeight="1" s="59">
      <c r="A13" s="84" t="inlineStr">
        <is>
          <t>ИТОГО OPEX</t>
        </is>
      </c>
      <c r="B13" s="95">
        <f>SUM(B4:B12)</f>
        <v/>
      </c>
      <c r="C13" s="85" t="n"/>
      <c r="D13" s="8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58" min="1" max="1"/>
    <col width="16" customWidth="1" style="58" min="2" max="2"/>
  </cols>
  <sheetData>
    <row r="1" ht="15.75" customHeight="1" s="59">
      <c r="A1" s="69" t="inlineStr">
        <is>
          <t>ЭКОНОМИКА И ОКУПАЕМОСТЬ</t>
        </is>
      </c>
    </row>
    <row r="3" ht="15" customHeight="1" s="59">
      <c r="A3" s="73" t="inlineStr">
        <is>
          <t>Показатель (полная мощность)</t>
        </is>
      </c>
      <c r="B3" s="73" t="inlineStr">
        <is>
          <t>Значение</t>
        </is>
      </c>
    </row>
    <row r="4" ht="15" customHeight="1" s="59">
      <c r="A4" s="74" t="inlineStr">
        <is>
          <t>CAPEX, млн ₽</t>
        </is>
      </c>
      <c r="B4" s="109">
        <f>CAPEX!$D$26</f>
        <v/>
      </c>
    </row>
    <row r="5" ht="15" customHeight="1" s="59">
      <c r="A5" s="74" t="inlineStr">
        <is>
          <t>Выручка, млн ₽/год</t>
        </is>
      </c>
      <c r="B5" s="110">
        <f>Выручка!$E$12</f>
        <v/>
      </c>
    </row>
    <row r="6" ht="15" customHeight="1" s="59">
      <c r="A6" s="74" t="inlineStr">
        <is>
          <t>OPEX, млн ₽/год</t>
        </is>
      </c>
      <c r="B6" s="110">
        <f>OPEX!$B$13</f>
        <v/>
      </c>
    </row>
    <row r="7" ht="15" customHeight="1" s="59">
      <c r="A7" s="111" t="inlineStr">
        <is>
          <t>EBITDA, млн ₽/год</t>
        </is>
      </c>
      <c r="B7" s="112">
        <f>B5-B6</f>
        <v/>
      </c>
    </row>
    <row r="8" ht="15" customHeight="1" s="59">
      <c r="A8" s="111" t="inlineStr">
        <is>
          <t>Маржа EBITDA</t>
        </is>
      </c>
      <c r="B8" s="113">
        <f>B7/B5</f>
        <v/>
      </c>
    </row>
    <row r="9" ht="15" customHeight="1" s="59">
      <c r="A9" s="74" t="inlineStr">
        <is>
          <t>Амортизация (10 лет, линейно), млн ₽/год</t>
        </is>
      </c>
      <c r="B9" s="110">
        <f>B4/10</f>
        <v/>
      </c>
    </row>
    <row r="10" ht="15" customHeight="1" s="59">
      <c r="A10" s="74" t="inlineStr">
        <is>
          <t>Прибыль до налога, млн ₽/год</t>
        </is>
      </c>
      <c r="B10" s="110">
        <f>B7-B9</f>
        <v/>
      </c>
    </row>
    <row r="11" ht="15" customHeight="1" s="59">
      <c r="A11" s="74" t="inlineStr">
        <is>
          <t>Налог ЕСХН 6% от прибыли, млн ₽/год</t>
        </is>
      </c>
      <c r="B11" s="110">
        <f>MAX(B10*0.06,0)</f>
        <v/>
      </c>
    </row>
    <row r="12" ht="15" customHeight="1" s="59">
      <c r="A12" s="74" t="inlineStr">
        <is>
          <t>Чистая прибыль, млн ₽/год</t>
        </is>
      </c>
      <c r="B12" s="110">
        <f>B10-B11</f>
        <v/>
      </c>
    </row>
    <row r="13" ht="15" customHeight="1" s="59">
      <c r="A13" s="74" t="inlineStr">
        <is>
          <t>Денежный поток (ЧП+аморт.), млн ₽/год</t>
        </is>
      </c>
      <c r="B13" s="110">
        <f>B12+B9</f>
        <v/>
      </c>
    </row>
    <row r="14" ht="15" customHeight="1" s="59">
      <c r="A14" s="74" t="inlineStr">
        <is>
          <t>Простая окупаемость (CAPEX/EBITDA), лет</t>
        </is>
      </c>
      <c r="B14" s="114">
        <f>B4/B7</f>
        <v/>
      </c>
    </row>
    <row r="15" ht="15" customHeight="1" s="59">
      <c r="A15" s="74" t="inlineStr">
        <is>
          <t>Окупаемость по ден. потоку, лет</t>
        </is>
      </c>
      <c r="B15" s="114">
        <f>B4/B13</f>
        <v/>
      </c>
    </row>
    <row r="16" ht="26.25" customHeight="1" s="59">
      <c r="A16" s="111" t="inlineStr">
        <is>
          <t>Рентабельность инвестиций (EBITDA/CAPEX)</t>
        </is>
      </c>
      <c r="B16" s="113">
        <f>B7/B4</f>
        <v/>
      </c>
    </row>
    <row r="20" ht="15" customHeight="1" s="59">
      <c r="A20" s="72" t="inlineStr">
        <is>
          <t>ВЫХОД НА МОЩНОСТЬ (10 ЛЕТ)</t>
        </is>
      </c>
    </row>
    <row r="21" ht="15" customHeight="1" s="59">
      <c r="A21" s="73" t="inlineStr">
        <is>
          <t>Год</t>
        </is>
      </c>
      <c r="B21" s="73" t="inlineStr">
        <is>
          <t>2026</t>
        </is>
      </c>
      <c r="C21" s="73" t="inlineStr">
        <is>
          <t>2027</t>
        </is>
      </c>
      <c r="D21" s="73" t="inlineStr">
        <is>
          <t>2028</t>
        </is>
      </c>
      <c r="E21" s="73" t="inlineStr">
        <is>
          <t>2029</t>
        </is>
      </c>
      <c r="F21" s="73" t="inlineStr">
        <is>
          <t>2030</t>
        </is>
      </c>
      <c r="G21" s="73" t="inlineStr">
        <is>
          <t>2031</t>
        </is>
      </c>
      <c r="H21" s="73" t="inlineStr">
        <is>
          <t>2032</t>
        </is>
      </c>
      <c r="I21" s="73" t="inlineStr">
        <is>
          <t>2033</t>
        </is>
      </c>
      <c r="J21" s="73" t="inlineStr">
        <is>
          <t>2034</t>
        </is>
      </c>
      <c r="K21" s="73" t="inlineStr">
        <is>
          <t>2035</t>
        </is>
      </c>
    </row>
    <row r="22" ht="15" customHeight="1" s="59">
      <c r="A22" s="91" t="inlineStr">
        <is>
          <t>Загрузка мощности</t>
        </is>
      </c>
      <c r="B22" s="81" t="n">
        <v>0</v>
      </c>
      <c r="C22" s="81" t="n">
        <v>0.35</v>
      </c>
      <c r="D22" s="81" t="n">
        <v>0.65</v>
      </c>
      <c r="E22" s="81" t="n">
        <v>0.85</v>
      </c>
      <c r="F22" s="81" t="n">
        <v>1</v>
      </c>
      <c r="G22" s="81" t="n">
        <v>1</v>
      </c>
      <c r="H22" s="81" t="n">
        <v>1</v>
      </c>
      <c r="I22" s="81" t="n">
        <v>1</v>
      </c>
      <c r="J22" s="81" t="n">
        <v>1</v>
      </c>
      <c r="K22" s="81" t="n">
        <v>1</v>
      </c>
    </row>
    <row r="23" ht="15" customHeight="1" s="59">
      <c r="A23" s="91" t="inlineStr">
        <is>
          <t>Выручка, млн ₽</t>
        </is>
      </c>
      <c r="B23" s="82">
        <f>B22*Выручка!$E$12</f>
        <v/>
      </c>
      <c r="C23" s="82">
        <f>C22*Выручка!$E$12</f>
        <v/>
      </c>
      <c r="D23" s="82">
        <f>D22*Выручка!$E$12</f>
        <v/>
      </c>
      <c r="E23" s="82">
        <f>E22*Выручка!$E$12</f>
        <v/>
      </c>
      <c r="F23" s="82">
        <f>F22*Выручка!$E$12</f>
        <v/>
      </c>
      <c r="G23" s="82">
        <f>G22*Выручка!$E$12</f>
        <v/>
      </c>
      <c r="H23" s="82">
        <f>H22*Выручка!$E$12</f>
        <v/>
      </c>
      <c r="I23" s="82">
        <f>I22*Выручка!$E$12</f>
        <v/>
      </c>
      <c r="J23" s="82">
        <f>J22*Выручка!$E$12</f>
        <v/>
      </c>
      <c r="K23" s="82">
        <f>K22*Выручка!$E$12</f>
        <v/>
      </c>
    </row>
    <row r="24" ht="15" customHeight="1" s="59">
      <c r="A24" s="91" t="inlineStr">
        <is>
          <t>EBITDA, млн ₽</t>
        </is>
      </c>
      <c r="B24" s="82">
        <f>B22*$B$7</f>
        <v/>
      </c>
      <c r="C24" s="82">
        <f>C22*$B$7</f>
        <v/>
      </c>
      <c r="D24" s="82">
        <f>D22*$B$7</f>
        <v/>
      </c>
      <c r="E24" s="82">
        <f>E22*$B$7</f>
        <v/>
      </c>
      <c r="F24" s="82">
        <f>F22*$B$7</f>
        <v/>
      </c>
      <c r="G24" s="82">
        <f>G22*$B$7</f>
        <v/>
      </c>
      <c r="H24" s="82">
        <f>H22*$B$7</f>
        <v/>
      </c>
      <c r="I24" s="82">
        <f>I22*$B$7</f>
        <v/>
      </c>
      <c r="J24" s="82">
        <f>J22*$B$7</f>
        <v/>
      </c>
      <c r="K24" s="82">
        <f>K22*$B$7</f>
        <v/>
      </c>
    </row>
    <row r="25" ht="15" customHeight="1" s="59">
      <c r="A25" s="91" t="inlineStr">
        <is>
          <t>Накопл. EBITDA − CAPEX, млн ₽</t>
        </is>
      </c>
      <c r="B25" s="82">
        <f>B24-CAPEX!$D$25</f>
        <v/>
      </c>
      <c r="C25" s="82">
        <f>B25+C24</f>
        <v/>
      </c>
      <c r="D25" s="82">
        <f>C25+D24</f>
        <v/>
      </c>
      <c r="E25" s="82">
        <f>D25+E24</f>
        <v/>
      </c>
      <c r="F25" s="82">
        <f>E25+F24</f>
        <v/>
      </c>
      <c r="G25" s="82">
        <f>F25+G24</f>
        <v/>
      </c>
      <c r="H25" s="82">
        <f>G25+H24</f>
        <v/>
      </c>
      <c r="I25" s="82">
        <f>H25+I24</f>
        <v/>
      </c>
      <c r="J25" s="82">
        <f>I25+J24</f>
        <v/>
      </c>
      <c r="K25" s="82">
        <f>J25+K24</f>
        <v/>
      </c>
    </row>
    <row r="26" ht="15" customHeight="1" s="59">
      <c r="A26" s="115" t="inlineStr">
        <is>
          <t>Примечание: CAPEX/OPEX/органика синхронизированы с эталоном кроликов (energy-budget.yaml, 1.ТЭО tab#23/#205). Без локального biogaz+ГПU; без покупного электро. ЕСХН 6%.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2" customWidth="1" style="59" min="1" max="1"/>
    <col width="14" customWidth="1" style="59" min="2" max="2"/>
    <col width="14" customWidth="1" style="59" min="3" max="3"/>
    <col width="14" customWidth="1" style="59" min="4" max="4"/>
    <col width="14" customWidth="1" style="59" min="5" max="5"/>
    <col width="14" customWidth="1" style="59" min="6" max="6"/>
    <col width="14" customWidth="1" style="59" min="7" max="7"/>
    <col width="14" customWidth="1" style="59" min="8" max="8"/>
    <col width="14" customWidth="1" style="59" min="9" max="9"/>
    <col width="14" customWidth="1" style="59" min="10" max="10"/>
  </cols>
  <sheetData>
    <row r="1">
      <c r="A1" s="116" t="inlineStr">
        <is>
          <t>NPV / IRR — DCF @ 10% (эталон кроликов, tab#7 docx)</t>
        </is>
      </c>
    </row>
    <row r="2">
      <c r="A2" s="58" t="inlineStr">
        <is>
          <t>Горизонт 2026–2035 · без долга · FCF = ЧП + амортизация · CAPEX в 2026</t>
        </is>
      </c>
    </row>
    <row r="3">
      <c r="A3" s="58" t="inlineStr">
        <is>
          <t>Ставка дисконтирования</t>
        </is>
      </c>
      <c r="B3" s="58">
        <f>Допущения!C19</f>
        <v/>
      </c>
      <c r="C3" s="58" t="inlineStr">
        <is>
          <t>%</t>
        </is>
      </c>
    </row>
    <row r="5">
      <c r="A5" s="117" t="inlineStr">
        <is>
          <t>Год</t>
        </is>
      </c>
      <c r="B5" s="117" t="inlineStr">
        <is>
          <t>Загрузка</t>
        </is>
      </c>
      <c r="C5" s="117" t="inlineStr">
        <is>
          <t>EBITDA</t>
        </is>
      </c>
      <c r="D5" s="117" t="inlineStr">
        <is>
          <t>Аморт.</t>
        </is>
      </c>
      <c r="E5" s="117" t="inlineStr">
        <is>
          <t>Прибыль до налога</t>
        </is>
      </c>
      <c r="F5" s="117" t="inlineStr">
        <is>
          <t>Налог ЕСХН 6%</t>
        </is>
      </c>
      <c r="G5" s="117" t="inlineStr">
        <is>
          <t>Чистая прибыль</t>
        </is>
      </c>
      <c r="H5" s="117" t="inlineStr">
        <is>
          <t>FCF</t>
        </is>
      </c>
      <c r="I5" s="117" t="inlineStr">
        <is>
          <t>DF @ 10%</t>
        </is>
      </c>
      <c r="J5" s="117" t="inlineStr">
        <is>
          <t>PV FCF</t>
        </is>
      </c>
    </row>
    <row r="6">
      <c r="A6" s="58" t="n">
        <v>2026</v>
      </c>
      <c r="B6" s="58">
        <f>Экономика!B22</f>
        <v/>
      </c>
      <c r="C6" s="58">
        <f>Экономика!B24</f>
        <v/>
      </c>
      <c r="D6" s="58">
        <f>IF(B6&gt;0,Экономика!$B$9*B6,0)</f>
        <v/>
      </c>
      <c r="E6" s="58">
        <f>C6-D6</f>
        <v/>
      </c>
      <c r="F6" s="58">
        <f>MAX(E6*0.06,0)</f>
        <v/>
      </c>
      <c r="G6" s="58">
        <f>E6-F6</f>
        <v/>
      </c>
      <c r="H6" s="58">
        <f>G6+D6-Экономика!$B$4</f>
        <v/>
      </c>
      <c r="I6" s="58">
        <f>1/(1+$B$3/100)^(6-5)</f>
        <v/>
      </c>
      <c r="J6" s="58">
        <f>H6*I6</f>
        <v/>
      </c>
    </row>
    <row r="7">
      <c r="A7" s="58" t="n">
        <v>2027</v>
      </c>
      <c r="B7" s="58">
        <f>Экономика!C22</f>
        <v/>
      </c>
      <c r="C7" s="58">
        <f>Экономика!C24</f>
        <v/>
      </c>
      <c r="D7" s="58">
        <f>IF(B7&gt;0,Экономика!$B$9*B7,0)</f>
        <v/>
      </c>
      <c r="E7" s="58">
        <f>C7-D7</f>
        <v/>
      </c>
      <c r="F7" s="58">
        <f>MAX(E7*0.06,0)</f>
        <v/>
      </c>
      <c r="G7" s="58">
        <f>E7-F7</f>
        <v/>
      </c>
      <c r="H7" s="58">
        <f>G7+D7</f>
        <v/>
      </c>
      <c r="I7" s="58">
        <f>1/(1+$B$3/100)^(7-5)</f>
        <v/>
      </c>
      <c r="J7" s="58">
        <f>H7*I7</f>
        <v/>
      </c>
    </row>
    <row r="8">
      <c r="A8" s="58" t="n">
        <v>2028</v>
      </c>
      <c r="B8" s="58">
        <f>Экономика!D22</f>
        <v/>
      </c>
      <c r="C8" s="58">
        <f>Экономика!D24</f>
        <v/>
      </c>
      <c r="D8" s="58">
        <f>IF(B8&gt;0,Экономика!$B$9*B8,0)</f>
        <v/>
      </c>
      <c r="E8" s="58">
        <f>C8-D8</f>
        <v/>
      </c>
      <c r="F8" s="58">
        <f>MAX(E8*0.06,0)</f>
        <v/>
      </c>
      <c r="G8" s="58">
        <f>E8-F8</f>
        <v/>
      </c>
      <c r="H8" s="58">
        <f>G8+D8</f>
        <v/>
      </c>
      <c r="I8" s="58">
        <f>1/(1+$B$3/100)^(8-5)</f>
        <v/>
      </c>
      <c r="J8" s="58">
        <f>H8*I8</f>
        <v/>
      </c>
    </row>
    <row r="9">
      <c r="A9" s="58" t="n">
        <v>2029</v>
      </c>
      <c r="B9" s="58">
        <f>Экономика!E22</f>
        <v/>
      </c>
      <c r="C9" s="58">
        <f>Экономика!E24</f>
        <v/>
      </c>
      <c r="D9" s="58">
        <f>IF(B9&gt;0,Экономика!$B$9*B9,0)</f>
        <v/>
      </c>
      <c r="E9" s="58">
        <f>C9-D9</f>
        <v/>
      </c>
      <c r="F9" s="58">
        <f>MAX(E9*0.06,0)</f>
        <v/>
      </c>
      <c r="G9" s="58">
        <f>E9-F9</f>
        <v/>
      </c>
      <c r="H9" s="58">
        <f>G9+D9</f>
        <v/>
      </c>
      <c r="I9" s="58">
        <f>1/(1+$B$3/100)^(9-5)</f>
        <v/>
      </c>
      <c r="J9" s="58">
        <f>H9*I9</f>
        <v/>
      </c>
    </row>
    <row r="10">
      <c r="A10" s="58" t="n">
        <v>2030</v>
      </c>
      <c r="B10" s="58">
        <f>Экономика!F22</f>
        <v/>
      </c>
      <c r="C10" s="58">
        <f>Экономика!F24</f>
        <v/>
      </c>
      <c r="D10" s="58">
        <f>IF(B10&gt;0,Экономика!$B$9*B10,0)</f>
        <v/>
      </c>
      <c r="E10" s="58">
        <f>C10-D10</f>
        <v/>
      </c>
      <c r="F10" s="58">
        <f>MAX(E10*0.06,0)</f>
        <v/>
      </c>
      <c r="G10" s="58">
        <f>E10-F10</f>
        <v/>
      </c>
      <c r="H10" s="58">
        <f>G10+D10</f>
        <v/>
      </c>
      <c r="I10" s="58">
        <f>1/(1+$B$3/100)^(10-5)</f>
        <v/>
      </c>
      <c r="J10" s="58">
        <f>H10*I10</f>
        <v/>
      </c>
    </row>
    <row r="11">
      <c r="A11" s="58" t="n">
        <v>2031</v>
      </c>
      <c r="B11" s="58">
        <f>Экономика!G22</f>
        <v/>
      </c>
      <c r="C11" s="58">
        <f>Экономика!G24</f>
        <v/>
      </c>
      <c r="D11" s="58">
        <f>IF(B11&gt;0,Экономика!$B$9*B11,0)</f>
        <v/>
      </c>
      <c r="E11" s="58">
        <f>C11-D11</f>
        <v/>
      </c>
      <c r="F11" s="58">
        <f>MAX(E11*0.06,0)</f>
        <v/>
      </c>
      <c r="G11" s="58">
        <f>E11-F11</f>
        <v/>
      </c>
      <c r="H11" s="58">
        <f>G11+D11</f>
        <v/>
      </c>
      <c r="I11" s="58">
        <f>1/(1+$B$3/100)^(11-5)</f>
        <v/>
      </c>
      <c r="J11" s="58">
        <f>H11*I11</f>
        <v/>
      </c>
    </row>
    <row r="12">
      <c r="A12" s="58" t="n">
        <v>2032</v>
      </c>
      <c r="B12" s="58">
        <f>Экономика!H22</f>
        <v/>
      </c>
      <c r="C12" s="58">
        <f>Экономика!H24</f>
        <v/>
      </c>
      <c r="D12" s="58">
        <f>IF(B12&gt;0,Экономика!$B$9*B12,0)</f>
        <v/>
      </c>
      <c r="E12" s="58">
        <f>C12-D12</f>
        <v/>
      </c>
      <c r="F12" s="58">
        <f>MAX(E12*0.06,0)</f>
        <v/>
      </c>
      <c r="G12" s="58">
        <f>E12-F12</f>
        <v/>
      </c>
      <c r="H12" s="58">
        <f>G12+D12</f>
        <v/>
      </c>
      <c r="I12" s="58">
        <f>1/(1+$B$3/100)^(12-5)</f>
        <v/>
      </c>
      <c r="J12" s="58">
        <f>H12*I12</f>
        <v/>
      </c>
    </row>
    <row r="13">
      <c r="A13" s="58" t="n">
        <v>2033</v>
      </c>
      <c r="B13" s="58">
        <f>Экономика!I22</f>
        <v/>
      </c>
      <c r="C13" s="58">
        <f>Экономика!I24</f>
        <v/>
      </c>
      <c r="D13" s="58">
        <f>IF(B13&gt;0,Экономика!$B$9*B13,0)</f>
        <v/>
      </c>
      <c r="E13" s="58">
        <f>C13-D13</f>
        <v/>
      </c>
      <c r="F13" s="58">
        <f>MAX(E13*0.06,0)</f>
        <v/>
      </c>
      <c r="G13" s="58">
        <f>E13-F13</f>
        <v/>
      </c>
      <c r="H13" s="58">
        <f>G13+D13</f>
        <v/>
      </c>
      <c r="I13" s="58">
        <f>1/(1+$B$3/100)^(13-5)</f>
        <v/>
      </c>
      <c r="J13" s="58">
        <f>H13*I13</f>
        <v/>
      </c>
    </row>
    <row r="14">
      <c r="A14" s="58" t="n">
        <v>2034</v>
      </c>
      <c r="B14" s="58">
        <f>Экономика!J22</f>
        <v/>
      </c>
      <c r="C14" s="58">
        <f>Экономика!J24</f>
        <v/>
      </c>
      <c r="D14" s="58">
        <f>IF(B14&gt;0,Экономика!$B$9*B14,0)</f>
        <v/>
      </c>
      <c r="E14" s="58">
        <f>C14-D14</f>
        <v/>
      </c>
      <c r="F14" s="58">
        <f>MAX(E14*0.06,0)</f>
        <v/>
      </c>
      <c r="G14" s="58">
        <f>E14-F14</f>
        <v/>
      </c>
      <c r="H14" s="58">
        <f>G14+D14</f>
        <v/>
      </c>
      <c r="I14" s="58">
        <f>1/(1+$B$3/100)^(14-5)</f>
        <v/>
      </c>
      <c r="J14" s="58">
        <f>H14*I14</f>
        <v/>
      </c>
    </row>
    <row r="15">
      <c r="A15" s="58" t="n">
        <v>2035</v>
      </c>
      <c r="B15" s="58">
        <f>Экономика!K22</f>
        <v/>
      </c>
      <c r="C15" s="58">
        <f>Экономика!K24</f>
        <v/>
      </c>
      <c r="D15" s="58">
        <f>IF(B15&gt;0,Экономика!$B$9*B15,0)</f>
        <v/>
      </c>
      <c r="E15" s="58">
        <f>C15-D15</f>
        <v/>
      </c>
      <c r="F15" s="58">
        <f>MAX(E15*0.06,0)</f>
        <v/>
      </c>
      <c r="G15" s="58">
        <f>E15-F15</f>
        <v/>
      </c>
      <c r="H15" s="58">
        <f>G15+D15</f>
        <v/>
      </c>
      <c r="I15" s="58">
        <f>1/(1+$B$3/100)^(15-5)</f>
        <v/>
      </c>
      <c r="J15" s="58">
        <f>H15*I15</f>
        <v/>
      </c>
    </row>
    <row r="16">
      <c r="A16" s="58" t="n">
        <v>2036</v>
      </c>
      <c r="B16" s="58">
        <f>1</f>
        <v/>
      </c>
      <c r="C16" s="58">
        <f>Экономика!$B$7</f>
        <v/>
      </c>
      <c r="D16" s="58">
        <f>IF(B16&gt;0,Экономика!$B$9*B16,0)</f>
        <v/>
      </c>
      <c r="E16" s="58">
        <f>C16-D16</f>
        <v/>
      </c>
      <c r="F16" s="58">
        <f>MAX(E16*0.06,0)</f>
        <v/>
      </c>
      <c r="G16" s="58">
        <f>E16-F16</f>
        <v/>
      </c>
      <c r="H16" s="58">
        <f>G16+D16</f>
        <v/>
      </c>
      <c r="I16" s="58">
        <f>1/(1+$B$3/100)^(16-5)</f>
        <v/>
      </c>
      <c r="J16" s="58">
        <f>H16*I16</f>
        <v/>
      </c>
    </row>
    <row r="17">
      <c r="A17" s="58" t="n">
        <v>2037</v>
      </c>
      <c r="B17" s="58">
        <f>1</f>
        <v/>
      </c>
      <c r="C17" s="58">
        <f>Экономика!$B$7</f>
        <v/>
      </c>
      <c r="D17" s="58">
        <f>IF(B17&gt;0,Экономика!$B$9*B17,0)</f>
        <v/>
      </c>
      <c r="E17" s="58">
        <f>C17-D17</f>
        <v/>
      </c>
      <c r="F17" s="58">
        <f>MAX(E17*0.06,0)</f>
        <v/>
      </c>
      <c r="G17" s="58">
        <f>E17-F17</f>
        <v/>
      </c>
      <c r="H17" s="58">
        <f>G17+D17</f>
        <v/>
      </c>
      <c r="I17" s="58">
        <f>1/(1+$B$3/100)^(17-5)</f>
        <v/>
      </c>
      <c r="J17" s="58">
        <f>H17*I17</f>
        <v/>
      </c>
    </row>
    <row r="18">
      <c r="A18" s="58" t="n">
        <v>2038</v>
      </c>
      <c r="B18" s="58">
        <f>1</f>
        <v/>
      </c>
      <c r="C18" s="58">
        <f>Экономика!$B$7</f>
        <v/>
      </c>
      <c r="D18" s="58">
        <f>IF(B18&gt;0,Экономика!$B$9*B18,0)</f>
        <v/>
      </c>
      <c r="E18" s="58">
        <f>C18-D18</f>
        <v/>
      </c>
      <c r="F18" s="58">
        <f>MAX(E18*0.06,0)</f>
        <v/>
      </c>
      <c r="G18" s="58">
        <f>E18-F18</f>
        <v/>
      </c>
      <c r="H18" s="58">
        <f>G18+D18</f>
        <v/>
      </c>
      <c r="I18" s="58">
        <f>1/(1+$B$3/100)^(18-5)</f>
        <v/>
      </c>
      <c r="J18" s="58">
        <f>H18*I18</f>
        <v/>
      </c>
    </row>
    <row r="19">
      <c r="A19" s="58" t="n">
        <v>2039</v>
      </c>
      <c r="B19" s="58">
        <f>1</f>
        <v/>
      </c>
      <c r="C19" s="58">
        <f>Экономика!$B$7</f>
        <v/>
      </c>
      <c r="D19" s="58">
        <f>IF(B19&gt;0,Экономика!$B$9*B19,0)</f>
        <v/>
      </c>
      <c r="E19" s="58">
        <f>C19-D19</f>
        <v/>
      </c>
      <c r="F19" s="58">
        <f>MAX(E19*0.06,0)</f>
        <v/>
      </c>
      <c r="G19" s="58">
        <f>E19-F19</f>
        <v/>
      </c>
      <c r="H19" s="58">
        <f>G19+D19</f>
        <v/>
      </c>
      <c r="I19" s="58">
        <f>1/(1+$B$3/100)^(19-5)</f>
        <v/>
      </c>
      <c r="J19" s="58">
        <f>H19*I19</f>
        <v/>
      </c>
    </row>
    <row r="20">
      <c r="A20" s="58" t="n">
        <v>2040</v>
      </c>
      <c r="B20" s="58">
        <f>1</f>
        <v/>
      </c>
      <c r="C20" s="58">
        <f>Экономика!$B$7</f>
        <v/>
      </c>
      <c r="D20" s="58">
        <f>IF(B20&gt;0,Экономика!$B$9*B20,0)</f>
        <v/>
      </c>
      <c r="E20" s="58">
        <f>C20-D20</f>
        <v/>
      </c>
      <c r="F20" s="58">
        <f>MAX(E20*0.06,0)</f>
        <v/>
      </c>
      <c r="G20" s="58">
        <f>E20-F20</f>
        <v/>
      </c>
      <c r="H20" s="58">
        <f>G20+D20</f>
        <v/>
      </c>
      <c r="I20" s="58">
        <f>1/(1+$B$3/100)^(20-5)</f>
        <v/>
      </c>
      <c r="J20" s="58">
        <f>H20*I20</f>
        <v/>
      </c>
    </row>
    <row r="21">
      <c r="A21" s="58" t="n">
        <v>2041</v>
      </c>
      <c r="B21" s="58">
        <f>1</f>
        <v/>
      </c>
      <c r="C21" s="58">
        <f>Экономика!$B$7</f>
        <v/>
      </c>
      <c r="D21" s="58">
        <f>IF(B21&gt;0,Экономика!$B$9*B21,0)</f>
        <v/>
      </c>
      <c r="E21" s="58">
        <f>C21-D21</f>
        <v/>
      </c>
      <c r="F21" s="58">
        <f>MAX(E21*0.06,0)</f>
        <v/>
      </c>
      <c r="G21" s="58">
        <f>E21-F21</f>
        <v/>
      </c>
      <c r="H21" s="58">
        <f>G21+D21</f>
        <v/>
      </c>
      <c r="I21" s="58">
        <f>1/(1+$B$3/100)^(21-5)</f>
        <v/>
      </c>
      <c r="J21" s="58">
        <f>H21*I21</f>
        <v/>
      </c>
    </row>
    <row r="22">
      <c r="A22" s="118" t="inlineStr">
        <is>
          <t>NPV @ 10%, млн ₽</t>
        </is>
      </c>
      <c r="B22" s="58">
        <f>SUM(J6:J21)</f>
        <v/>
      </c>
    </row>
    <row r="23">
      <c r="A23" s="118" t="inlineStr">
        <is>
          <t>IRR, %</t>
        </is>
      </c>
      <c r="B23" s="58">
        <f>IRR(H6:H21)*100</f>
        <v/>
      </c>
    </row>
    <row r="24">
      <c r="A24" s="118" t="inlineStr">
        <is>
          <t>PI (NPV/CAPEX + 1)</t>
        </is>
      </c>
      <c r="B24" s="58">
        <f>B22/Экономика!B4+1</f>
        <v/>
      </c>
    </row>
    <row r="26">
      <c r="A26" s="58" t="inlineStr">
        <is>
          <t>Сравнение с кроликами (docx tab#7)</t>
        </is>
      </c>
    </row>
    <row r="27">
      <c r="A27" s="58" t="inlineStr">
        <is>
          <t>Кролики NPV @ 10%</t>
        </is>
      </c>
      <c r="B27" s="58" t="n">
        <v>2779.5</v>
      </c>
    </row>
    <row r="28">
      <c r="A28" s="58" t="inlineStr">
        <is>
          <t>Кролики IRR</t>
        </is>
      </c>
      <c r="B28" s="119" t="n">
        <v>0.1519</v>
      </c>
    </row>
    <row r="29">
      <c r="A29" s="58" t="inlineStr">
        <is>
          <t>Горизонт DCF</t>
        </is>
      </c>
      <c r="B29" s="58" t="inlineStr">
        <is>
          <t>16 лет (2026–2041)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style="59" min="1" max="1"/>
    <col width="28" customWidth="1" style="59" min="2" max="2"/>
    <col width="38" customWidth="1" style="59" min="3" max="3"/>
    <col width="16" customWidth="1" style="59" min="4" max="4"/>
    <col width="10" customWidth="1" style="59" min="5" max="5"/>
    <col width="42" customWidth="1" style="59" min="6" max="6"/>
  </cols>
  <sheetData>
    <row r="1">
      <c r="A1" s="116" t="inlineStr">
        <is>
          <t>СТРУКТУРА ФИНАНСИРОВАНИЯ — ПТИЦЕКОМПЛЕКС 12 000 млн ₽</t>
        </is>
      </c>
    </row>
    <row r="2">
      <c r="A2" s="58" t="inlineStr">
        <is>
          <t>Шаблон: docs/1.2-слайд Фин модель.xlsx · встройка в 100 млрд: лист «APK-100»</t>
        </is>
      </c>
    </row>
    <row r="3">
      <c r="A3" s="58" t="inlineStr">
        <is>
          <t>Сумма инвестиций</t>
        </is>
      </c>
      <c r="B3" s="58" t="n">
        <v>12000</v>
      </c>
      <c r="C3" s="58" t="inlineStr">
        <is>
          <t>млн ₽</t>
        </is>
      </c>
    </row>
    <row r="5">
      <c r="A5" s="117" t="inlineStr"/>
      <c r="B5" s="117" t="inlineStr">
        <is>
          <t>Источник</t>
        </is>
      </c>
      <c r="C5" s="117" t="inlineStr">
        <is>
          <t>Статья</t>
        </is>
      </c>
      <c r="D5" s="117" t="inlineStr">
        <is>
          <t>Сумма, млн ₽</t>
        </is>
      </c>
      <c r="E5" s="117" t="inlineStr">
        <is>
          <t>Доля</t>
        </is>
      </c>
      <c r="F5" s="117" t="inlineStr">
        <is>
          <t>Комментарий</t>
        </is>
      </c>
    </row>
    <row r="6">
      <c r="A6" s="58" t="inlineStr">
        <is>
          <t>ФНБ</t>
        </is>
      </c>
      <c r="B6" s="58" t="inlineStr">
        <is>
          <t>Фонд национального благосостояния</t>
        </is>
      </c>
      <c r="C6" s="58" t="inlineStr">
        <is>
          <t>Долевое участие в проекте</t>
        </is>
      </c>
      <c r="D6" s="58" t="n">
        <v>600</v>
      </c>
      <c r="E6" s="58">
        <f>D6/$B$3</f>
        <v/>
      </c>
      <c r="F6" s="58" t="inlineStr">
        <is>
          <t>~5% конверта (аналог холдинга 100 млрд)</t>
        </is>
      </c>
    </row>
    <row r="7">
      <c r="A7" s="58" t="inlineStr">
        <is>
          <t>РАЛ</t>
        </is>
      </c>
      <c r="B7" s="58" t="inlineStr">
        <is>
          <t>РосАгроЛизинг</t>
        </is>
      </c>
      <c r="C7" s="58" t="inlineStr">
        <is>
          <t>Оборудование (птичники, УПК, инкубатор, холод)</t>
        </is>
      </c>
      <c r="D7" s="58" t="n">
        <v>2340</v>
      </c>
      <c r="E7" s="58">
        <f>D7/$B$3</f>
        <v/>
      </c>
      <c r="F7" s="58" t="inlineStr">
        <is>
          <t>19,5% блока — как кролики 2 147,7 / 11 041,5</t>
        </is>
      </c>
    </row>
    <row r="8">
      <c r="A8" s="58" t="inlineStr">
        <is>
          <t>ФРП</t>
        </is>
      </c>
      <c r="B8" s="58" t="inlineStr">
        <is>
          <t>Фонд развития промышленности</t>
        </is>
      </c>
      <c r="C8" s="58" t="inlineStr">
        <is>
          <t>—</t>
        </is>
      </c>
      <c r="D8" s="58" t="n">
        <v>0</v>
      </c>
      <c r="E8" s="58">
        <f>D8/$B$3</f>
        <v/>
      </c>
      <c r="F8" s="58" t="inlineStr">
        <is>
          <t>ККЗ вне блока; корм с завода холдинга</t>
        </is>
      </c>
    </row>
    <row r="9">
      <c r="A9" s="58" t="inlineStr">
        <is>
          <t>Банки</t>
        </is>
      </c>
      <c r="B9" s="58" t="inlineStr">
        <is>
          <t>Коммерческие банки</t>
        </is>
      </c>
      <c r="C9" s="58" t="inlineStr">
        <is>
          <t>СМР, здания, инженерные сети</t>
        </is>
      </c>
      <c r="D9" s="58" t="n">
        <v>6287</v>
      </c>
      <c r="E9" s="58">
        <f>D9/$B$3</f>
        <v/>
      </c>
      <c r="F9" s="58" t="inlineStr">
        <is>
          <t>69,4% банковской доли (как СМР у кроликов)</t>
        </is>
      </c>
    </row>
    <row r="10">
      <c r="A10" s="58" t="inlineStr">
        <is>
          <t>Банки</t>
        </is>
      </c>
      <c r="B10" s="58" t="inlineStr">
        <is>
          <t>Коммерческие банки</t>
        </is>
      </c>
      <c r="C10" s="58" t="inlineStr">
        <is>
          <t>Solar 10 МВт·ч</t>
        </is>
      </c>
      <c r="D10" s="58" t="n">
        <v>1180.8</v>
      </c>
      <c r="E10" s="58">
        <f>D10/$B$3</f>
        <v/>
      </c>
      <c r="F10" s="58" t="inlineStr">
        <is>
          <t>эталон кроликов tab#23</t>
        </is>
      </c>
    </row>
    <row r="11">
      <c r="A11" s="58" t="inlineStr">
        <is>
          <t>Банки</t>
        </is>
      </c>
      <c r="B11" s="58" t="inlineStr">
        <is>
          <t>Коммерческие банки</t>
        </is>
      </c>
      <c r="C11" s="58" t="inlineStr">
        <is>
          <t>Комpost помёта 5 т/ч</t>
        </is>
      </c>
      <c r="D11" s="58" t="n">
        <v>36</v>
      </c>
      <c r="E11" s="58">
        <f>D11/$B$3</f>
        <v/>
      </c>
      <c r="F11" s="58" t="inlineStr">
        <is>
          <t>эталон кроликов tab#23</t>
        </is>
      </c>
    </row>
    <row r="12">
      <c r="A12" s="58" t="inlineStr">
        <is>
          <t>Банки</t>
        </is>
      </c>
      <c r="B12" s="58" t="inlineStr">
        <is>
          <t>Коммерческие банки</t>
        </is>
      </c>
      <c r="C12" s="58" t="inlineStr">
        <is>
          <t>Проектирование, пусконаладка</t>
        </is>
      </c>
      <c r="D12" s="58" t="n">
        <v>27</v>
      </c>
      <c r="E12" s="58">
        <f>D12/$B$3</f>
        <v/>
      </c>
      <c r="F12" s="58" t="inlineStr">
        <is>
          <t>аналог строки «Проектирование» у кроликов</t>
        </is>
      </c>
    </row>
    <row r="13">
      <c r="A13" s="58" t="inlineStr">
        <is>
          <t>Банки</t>
        </is>
      </c>
      <c r="B13" s="58" t="inlineStr">
        <is>
          <t>Коммерческие банки</t>
        </is>
      </c>
      <c r="C13" s="58" t="inlineStr">
        <is>
          <t>Родительское стадо, стартовый молодняк</t>
        </is>
      </c>
      <c r="D13" s="58" t="n">
        <v>463</v>
      </c>
      <c r="E13" s="58">
        <f>D13/$B$3</f>
        <v/>
      </c>
      <c r="F13" s="58" t="inlineStr">
        <is>
          <t>аналог «племенные» у кроликов</t>
        </is>
      </c>
    </row>
    <row r="14">
      <c r="A14" s="58" t="inlineStr">
        <is>
          <t>Банки</t>
        </is>
      </c>
      <c r="B14" s="58" t="inlineStr">
        <is>
          <t>Коммерческие банки</t>
        </is>
      </c>
      <c r="C14" s="58" t="inlineStr">
        <is>
          <t>Оборотные средства</t>
        </is>
      </c>
      <c r="D14" s="58" t="n">
        <v>700</v>
      </c>
      <c r="E14" s="58">
        <f>D14/$B$3</f>
        <v/>
      </c>
      <c r="F14" s="58" t="inlineStr">
        <is>
          <t>как кролики (700 млн)</t>
        </is>
      </c>
    </row>
    <row r="15">
      <c r="A15" s="58" t="inlineStr">
        <is>
          <t>Банки</t>
        </is>
      </c>
      <c r="B15" s="58" t="inlineStr">
        <is>
          <t>Коммерческие банки</t>
        </is>
      </c>
      <c r="C15" s="58" t="inlineStr">
        <is>
          <t>Резерв + прочая инфраструктура</t>
        </is>
      </c>
      <c r="D15" s="58">
        <f>12000-SUM(D6:D14)</f>
        <v/>
      </c>
      <c r="E15" s="58">
        <f>D15/$B$3</f>
        <v/>
      </c>
      <c r="F15" s="58" t="inlineStr">
        <is>
          <t>баланс до 12 000 (= CAPEX)</t>
        </is>
      </c>
    </row>
    <row r="16">
      <c r="A16" s="58" t="inlineStr"/>
      <c r="B16" s="58" t="inlineStr">
        <is>
          <t>ИТОГО</t>
        </is>
      </c>
      <c r="C16" s="58" t="inlineStr"/>
      <c r="D16" s="58">
        <f>SUM(D6:D15)</f>
        <v/>
      </c>
      <c r="E16" s="58">
        <f>D16/$B$3</f>
        <v/>
      </c>
      <c r="F16" s="58" t="inlineStr"/>
    </row>
    <row r="17">
      <c r="A17" s="118" t="inlineStr">
        <is>
          <t>Примечание</t>
        </is>
      </c>
    </row>
    <row r="18">
      <c r="A18" s="58" t="inlineStr">
        <is>
          <t>ККЗ и биогаз APK 20 МВт·ч — на уровне холдинга, не в CAPEX/OPEX блока птицы.</t>
        </is>
      </c>
    </row>
    <row r="19">
      <c r="A19" s="58" t="inlineStr">
        <is>
          <t>Детализация CAPEX — лист «CAPEX»; операционная модель — «Экономика», «NPV-IRR».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" customWidth="1" style="59" min="1" max="1"/>
    <col width="42" customWidth="1" style="59" min="2" max="2"/>
    <col width="18" customWidth="1" style="59" min="3" max="3"/>
    <col width="18" customWidth="1" style="59" min="4" max="4"/>
    <col width="18" customWidth="1" style="59" min="5" max="5"/>
    <col width="18" customWidth="1" style="59" min="6" max="6"/>
  </cols>
  <sheetData>
    <row r="1">
      <c r="A1" s="116" t="inlineStr">
        <is>
          <t>ВСТРОЙКА 12 млрд ПТИЦЫ В КОНТУР APK 100 млрд (Приложение 3Б)</t>
        </is>
      </c>
    </row>
    <row r="2">
      <c r="A2" s="58" t="inlineStr">
        <is>
          <t>Baseline: docs/1.2-слайд Фин модель.xlsx · блок птицы: finmodel · apk-100bln-integration.md</t>
        </is>
      </c>
    </row>
    <row r="3">
      <c r="A3" s="58" t="inlineStr">
        <is>
          <t>Земля птицы: APK 250 000 га, Запорожская обл. · слот 400 га · кадастр позже</t>
        </is>
      </c>
    </row>
    <row r="5">
      <c r="A5" s="117" t="inlineStr">
        <is>
          <t>№</t>
        </is>
      </c>
      <c r="B5" s="117" t="inlineStr">
        <is>
          <t>Блок</t>
        </is>
      </c>
      <c r="C5" s="117" t="inlineStr">
        <is>
          <t>Baseline (кролики), млн ₽</t>
        </is>
      </c>
      <c r="D5" s="117" t="inlineStr">
        <is>
          <t>С птицей, млн ₽</t>
        </is>
      </c>
      <c r="E5" s="117" t="inlineStr">
        <is>
          <t>Δ, млн ₽</t>
        </is>
      </c>
      <c r="F5" s="117" t="inlineStr">
        <is>
          <t>Доля в 100,9 млрд</t>
        </is>
      </c>
    </row>
    <row r="6">
      <c r="A6" s="58" t="n">
        <v>1</v>
      </c>
      <c r="B6" s="58" t="inlineStr">
        <is>
          <t>Птицеводческий комплекс «Нова-Агро» (слот кроликов)</t>
        </is>
      </c>
      <c r="C6" s="58" t="n">
        <v>11041.5</v>
      </c>
      <c r="D6" s="58" t="n">
        <v>12000</v>
      </c>
      <c r="E6" s="58">
        <f>D6-C6</f>
        <v/>
      </c>
      <c r="F6" s="58">
        <f>D6/$D$11</f>
        <v/>
      </c>
    </row>
    <row r="7">
      <c r="A7" s="58" t="n">
        <v>2</v>
      </c>
      <c r="B7" s="58" t="inlineStr">
        <is>
          <t>Тепличный комплекс</t>
        </is>
      </c>
      <c r="C7" s="58" t="n">
        <v>34500</v>
      </c>
      <c r="D7" s="58" t="n">
        <v>34500</v>
      </c>
      <c r="E7" s="58" t="n">
        <v>0</v>
      </c>
      <c r="F7" s="58">
        <f>D7/$D$11</f>
        <v/>
      </c>
    </row>
    <row r="8">
      <c r="A8" s="58" t="n">
        <v>3</v>
      </c>
      <c r="B8" s="58" t="inlineStr">
        <is>
          <t>Животноводческая ферма (КРС/МРС)</t>
        </is>
      </c>
      <c r="C8" s="58" t="n">
        <v>27458.5</v>
      </c>
      <c r="D8" s="58" t="n">
        <v>27458.5</v>
      </c>
      <c r="E8" s="58" t="n">
        <v>0</v>
      </c>
      <c r="F8" s="58">
        <f>D8/$D$11</f>
        <v/>
      </c>
    </row>
    <row r="9">
      <c r="A9" s="58" t="n">
        <v>4</v>
      </c>
      <c r="B9" s="58" t="inlineStr">
        <is>
          <t>Рыбоводство (белуга)</t>
        </is>
      </c>
      <c r="C9" s="58" t="n">
        <v>9000</v>
      </c>
      <c r="D9" s="58" t="n">
        <v>9000</v>
      </c>
      <c r="E9" s="58" t="n">
        <v>0</v>
      </c>
      <c r="F9" s="58">
        <f>D9/$D$11</f>
        <v/>
      </c>
    </row>
    <row r="10">
      <c r="A10" s="58" t="n">
        <v>5</v>
      </c>
      <c r="B10" s="58" t="inlineStr">
        <is>
          <t>Масложировой комбинат</t>
        </is>
      </c>
      <c r="C10" s="58" t="n">
        <v>18000</v>
      </c>
      <c r="D10" s="58" t="n">
        <v>18000</v>
      </c>
      <c r="E10" s="58" t="n">
        <v>0</v>
      </c>
      <c r="F10" s="58">
        <f>D10/$D$11</f>
        <v/>
      </c>
    </row>
    <row r="11">
      <c r="A11" s="118" t="n"/>
      <c r="B11" s="118" t="inlineStr">
        <is>
          <t>ИТОГО APK</t>
        </is>
      </c>
      <c r="C11" s="118">
        <f>SUM(C6:C10)</f>
        <v/>
      </c>
      <c r="D11" s="118">
        <f>SUM(D6:D10)</f>
        <v/>
      </c>
      <c r="E11" s="118">
        <f>D11-C11</f>
        <v/>
      </c>
      <c r="F11" s="118" t="n">
        <v>1</v>
      </c>
    </row>
    <row r="13">
      <c r="A13" s="118" t="inlineStr">
        <is>
          <t>Источники финансирования блока 1 (12 000)</t>
        </is>
      </c>
    </row>
    <row r="14">
      <c r="A14" s="117" t="inlineStr">
        <is>
          <t>Источник</t>
        </is>
      </c>
      <c r="B14" s="117" t="inlineStr">
        <is>
          <t>млн ₽</t>
        </is>
      </c>
      <c r="C14" s="117" t="inlineStr">
        <is>
          <t>Доля блока</t>
        </is>
      </c>
      <c r="D14" s="117" t="inlineStr">
        <is>
          <t>Ссылка</t>
        </is>
      </c>
    </row>
    <row r="15">
      <c r="A15" s="58" t="inlineStr">
        <is>
          <t>ФНБ</t>
        </is>
      </c>
      <c r="B15" s="58">
        <f>Финансирование!D6</f>
        <v/>
      </c>
      <c r="C15" s="58">
        <f>Финансирование!E6</f>
        <v/>
      </c>
      <c r="D15" s="58" t="inlineStr">
        <is>
          <t>лист Финансирование</t>
        </is>
      </c>
    </row>
    <row r="16">
      <c r="A16" s="58" t="inlineStr">
        <is>
          <t>РАЛ</t>
        </is>
      </c>
      <c r="B16" s="58">
        <f>Финансирование!D7</f>
        <v/>
      </c>
      <c r="C16" s="58">
        <f>Финансирование!E7</f>
        <v/>
      </c>
      <c r="D16" s="58" t="inlineStr"/>
    </row>
    <row r="17">
      <c r="A17" s="58" t="inlineStr">
        <is>
          <t>ФРП</t>
        </is>
      </c>
      <c r="B17" s="58">
        <f>Финансирование!D8</f>
        <v/>
      </c>
      <c r="C17" s="58">
        <f>Финансирование!E8</f>
        <v/>
      </c>
      <c r="D17" s="58" t="inlineStr">
        <is>
          <t>ККЗ вне блока</t>
        </is>
      </c>
    </row>
    <row r="18">
      <c r="A18" s="58" t="inlineStr">
        <is>
          <t>Банки</t>
        </is>
      </c>
      <c r="B18" s="58">
        <f>SUM(Финансирование!D9:D15)</f>
        <v/>
      </c>
      <c r="C18" s="58">
        <f>B18/12000</f>
        <v/>
      </c>
      <c r="D18" s="58" t="inlineStr"/>
    </row>
    <row r="19">
      <c r="A19" s="58" t="inlineStr">
        <is>
          <t>Итого блок 1</t>
        </is>
      </c>
      <c r="B19" s="58">
        <f>SUM(B15:B18)</f>
        <v/>
      </c>
      <c r="C19" s="58" t="n">
        <v>1</v>
      </c>
      <c r="D19" s="58" t="inlineStr"/>
    </row>
    <row r="21">
      <c r="A21" s="58" t="inlineStr">
        <is>
          <t>Общая инфра APK (без изменений)</t>
        </is>
      </c>
    </row>
    <row r="22">
      <c r="A22" s="58" t="inlineStr">
        <is>
          <t>ККЗ 300 тыс. т/год</t>
        </is>
      </c>
      <c r="B22" s="58" t="inlineStr">
        <is>
          <t>корм птицы ~22% мощности</t>
        </is>
      </c>
    </row>
    <row r="23">
      <c r="A23" s="58" t="inlineStr">
        <is>
          <t>Биogaz APK 20 МВт·ч</t>
        </is>
      </c>
      <c r="B23" s="58" t="inlineStr">
        <is>
          <t>помёт птицы → установка холдинга</t>
        </is>
      </c>
    </row>
    <row r="24">
      <c r="A24" s="58" t="inlineStr">
        <is>
          <t>Solar 50 МВт·ч</t>
        </is>
      </c>
      <c r="B24" s="58" t="inlineStr">
        <is>
          <t>10 МВт·ч на блоке птицы (CAPEX 12 млрд)</t>
        </is>
      </c>
    </row>
    <row r="26">
      <c r="A26" s="118" t="inlineStr">
        <is>
          <t>Сценарий C: итог ровно 100 000</t>
        </is>
      </c>
    </row>
    <row r="27">
      <c r="A27" s="58" t="inlineStr">
        <is>
          <t>Птица / кролики (блок 1)</t>
        </is>
      </c>
      <c r="B27" s="58" t="n">
        <v>12000</v>
      </c>
    </row>
    <row r="28">
      <c r="A28" s="58" t="inlineStr">
        <is>
          <t>Теплицы</t>
        </is>
      </c>
      <c r="B28" s="58" t="n">
        <v>34128.3</v>
      </c>
    </row>
    <row r="29">
      <c r="A29" s="58" t="inlineStr">
        <is>
          <t>Животноводство</t>
        </is>
      </c>
      <c r="B29" s="58" t="n">
        <v>27162.6</v>
      </c>
    </row>
    <row r="30">
      <c r="A30" s="58" t="inlineStr">
        <is>
          <t>Рыба</t>
        </is>
      </c>
      <c r="B30" s="58" t="n">
        <v>8903</v>
      </c>
    </row>
    <row r="31">
      <c r="A31" s="58" t="inlineStr">
        <is>
          <t>Масложир</t>
        </is>
      </c>
      <c r="B31" s="58" t="n">
        <v>17806.1</v>
      </c>
    </row>
    <row r="32">
      <c r="A32" s="58" t="inlineStr">
        <is>
          <t>ИТОГО</t>
        </is>
      </c>
      <c r="B32" s="58" t="n">
        <v>100000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16" t="inlineStr">
        <is>
          <t>АНАЛИЗ ЧУВСТВИТЕЛЬНОСТИ — полная мощность</t>
        </is>
      </c>
    </row>
    <row r="2">
      <c r="A2" t="inlineStr">
        <is>
          <t>NPV/IRR: DCF 16 лет @10%, как лист NPV-IRR · расчёт scripts/calc-poultry-scenarios.py</t>
        </is>
      </c>
    </row>
    <row r="4">
      <c r="A4" s="120" t="inlineStr">
        <is>
          <t>Сценарий</t>
        </is>
      </c>
      <c r="B4" s="120" t="inlineStr">
        <is>
          <t>Выручка</t>
        </is>
      </c>
      <c r="C4" s="120" t="inlineStr">
        <is>
          <t>OPEX</t>
        </is>
      </c>
      <c r="D4" s="120" t="inlineStr">
        <is>
          <t>EBITDA</t>
        </is>
      </c>
      <c r="E4" s="120" t="inlineStr">
        <is>
          <t>Маржа %</t>
        </is>
      </c>
      <c r="F4" s="120" t="inlineStr">
        <is>
          <t>PB лет</t>
        </is>
      </c>
      <c r="G4" s="120" t="inlineStr">
        <is>
          <t>NPV @10%</t>
        </is>
      </c>
      <c r="H4" s="120" t="inlineStr">
        <is>
          <t>IRR %</t>
        </is>
      </c>
      <c r="I4" s="120" t="inlineStr">
        <is>
          <t>Комментарий</t>
        </is>
      </c>
    </row>
    <row r="5">
      <c r="A5" t="inlineStr">
        <is>
          <t>База (II кв. 2026)</t>
        </is>
      </c>
      <c r="B5" t="n">
        <v>5559.16</v>
      </c>
      <c r="C5" t="n">
        <v>3342.93</v>
      </c>
      <c r="D5" t="n">
        <v>2216.23</v>
      </c>
      <c r="E5" s="121" t="n">
        <v>0.399</v>
      </c>
      <c r="F5" t="n">
        <v>5.41</v>
      </c>
      <c r="G5" t="n">
        <v>2253.2</v>
      </c>
      <c r="H5" s="121" t="n">
        <v>0.1282</v>
      </c>
      <c r="I5" t="inlineStr"/>
    </row>
    <row r="6">
      <c r="A6" t="inlineStr">
        <is>
          <t>Яйцо −15%</t>
        </is>
      </c>
      <c r="B6" t="n">
        <v>5397.88</v>
      </c>
      <c r="C6" t="n">
        <v>3342.93</v>
      </c>
      <c r="D6" t="n">
        <v>2054.95</v>
      </c>
      <c r="E6" s="121" t="n">
        <v>0.381</v>
      </c>
      <c r="F6" t="n">
        <v>5.84</v>
      </c>
      <c r="G6" t="n">
        <v>1250.6</v>
      </c>
      <c r="H6" s="121" t="n">
        <v>0.116</v>
      </c>
      <c r="I6" t="inlineStr">
        <is>
          <t>153,6 млн шт × 5,95 ₽</t>
        </is>
      </c>
    </row>
    <row r="7">
      <c r="A7" t="inlineStr">
        <is>
          <t>Яйцо −30%</t>
        </is>
      </c>
      <c r="B7" t="n">
        <v>5236.6</v>
      </c>
      <c r="C7" t="n">
        <v>3342.93</v>
      </c>
      <c r="D7" t="n">
        <v>1893.67</v>
      </c>
      <c r="E7" s="121" t="n">
        <v>0.362</v>
      </c>
      <c r="F7" t="n">
        <v>6.34</v>
      </c>
      <c r="G7" t="n">
        <v>248</v>
      </c>
      <c r="H7" s="121" t="n">
        <v>0.1032</v>
      </c>
      <c r="I7" t="inlineStr">
        <is>
          <t>профицит рынка</t>
        </is>
      </c>
    </row>
    <row r="8">
      <c r="A8" t="inlineStr">
        <is>
          <t>Корм +15%</t>
        </is>
      </c>
      <c r="B8" t="n">
        <v>5559.16</v>
      </c>
      <c r="C8" t="n">
        <v>3623.12</v>
      </c>
      <c r="D8" t="n">
        <v>1936.04</v>
      </c>
      <c r="E8" s="121" t="n">
        <v>0.348</v>
      </c>
      <c r="F8" t="n">
        <v>6.2</v>
      </c>
      <c r="G8" t="n">
        <v>511.4</v>
      </c>
      <c r="H8" s="121" t="n">
        <v>0.1066</v>
      </c>
      <c r="I8" t="inlineStr">
        <is>
          <t>28 000 → 32 200 ₽/т</t>
        </is>
      </c>
    </row>
    <row r="9">
      <c r="A9" t="inlineStr">
        <is>
          <t>Корм +20%</t>
        </is>
      </c>
      <c r="B9" t="n">
        <v>5559.16</v>
      </c>
      <c r="C9" t="n">
        <v>3716.52</v>
      </c>
      <c r="D9" t="n">
        <v>1842.64</v>
      </c>
      <c r="E9" s="121" t="n">
        <v>0.331</v>
      </c>
      <c r="F9" t="n">
        <v>6.51</v>
      </c>
      <c r="G9" t="n">
        <v>-69.2</v>
      </c>
      <c r="H9" s="121" t="n">
        <v>0.09910000000000001</v>
      </c>
      <c r="I9" t="inlineStr">
        <is>
          <t>стресс сырья</t>
        </is>
      </c>
    </row>
    <row r="10">
      <c r="A10" t="inlineStr">
        <is>
          <t>Бройлер −10%</t>
        </is>
      </c>
      <c r="B10" t="n">
        <v>5210.17</v>
      </c>
      <c r="C10" t="n">
        <v>3342.93</v>
      </c>
      <c r="D10" t="n">
        <v>1867.24</v>
      </c>
      <c r="E10" s="121" t="n">
        <v>0.358</v>
      </c>
      <c r="F10" t="n">
        <v>6.43</v>
      </c>
      <c r="G10" t="n">
        <v>83.7</v>
      </c>
      <c r="H10" s="121" t="n">
        <v>0.1011</v>
      </c>
      <c r="I10" t="inlineStr">
        <is>
          <t>205 → 184,5 ₽/кг</t>
        </is>
      </c>
    </row>
    <row r="11">
      <c r="A11" t="inlineStr">
        <is>
          <t>Ramp 85% (как 2029)</t>
        </is>
      </c>
      <c r="B11" t="n">
        <v>4725.29</v>
      </c>
      <c r="C11" t="n">
        <v>2941.78</v>
      </c>
      <c r="D11" t="n">
        <v>1783.51</v>
      </c>
      <c r="E11" s="121" t="n">
        <v>0.377</v>
      </c>
      <c r="F11" t="n">
        <v>6.73</v>
      </c>
      <c r="G11" t="n">
        <v>-436.8</v>
      </c>
      <c r="H11" s="121" t="n">
        <v>0.09420000000000001</v>
      </c>
      <c r="I11" t="inlineStr">
        <is>
          <t>выручка ×0,85; OPEX ×0,88 (часть постоянных)</t>
        </is>
      </c>
    </row>
    <row r="12">
      <c r="A12" t="inlineStr">
        <is>
          <t>Комбинированный стресс</t>
        </is>
      </c>
      <c r="B12" t="n">
        <v>5173.88</v>
      </c>
      <c r="C12" t="n">
        <v>3623.12</v>
      </c>
      <c r="D12" t="n">
        <v>1550.76</v>
      </c>
      <c r="E12" s="121" t="n">
        <v>0.3</v>
      </c>
      <c r="F12" t="n">
        <v>7.74</v>
      </c>
      <c r="G12" t="n">
        <v>-1883.7</v>
      </c>
      <c r="H12" s="121" t="n">
        <v>0.0741</v>
      </c>
      <c r="I12" t="inlineStr">
        <is>
          <t>яйцо −20%, бройлер −5%, корм +15%</t>
        </is>
      </c>
    </row>
    <row r="13">
      <c r="A13" t="inlineStr">
        <is>
          <t>Оптимист (+5% цены мясо+яйцо)</t>
        </is>
      </c>
      <c r="B13" t="n">
        <v>5808.53</v>
      </c>
      <c r="C13" t="n">
        <v>3342.93</v>
      </c>
      <c r="D13" t="n">
        <v>2465.6</v>
      </c>
      <c r="E13" s="121" t="n">
        <v>0.424</v>
      </c>
      <c r="F13" t="n">
        <v>4.87</v>
      </c>
      <c r="G13" t="n">
        <v>3803.4</v>
      </c>
      <c r="H13" s="121" t="n">
        <v>0.1463</v>
      </c>
      <c r="I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16" t="inlineStr">
        <is>
          <t>ЭКСПОРТ — Tab#5 baseline на блок 1</t>
        </is>
      </c>
    </row>
    <row r="2">
      <c r="A2" t="inlineStr">
        <is>
          <t>Птица: 0% export (finmodel 5 559 РФ). APK 10 208 млн — consolidated, вне NPV 12 млрд</t>
        </is>
      </c>
    </row>
    <row r="4">
      <c r="A4" s="118" t="inlineStr">
        <is>
          <t>Сценарий</t>
        </is>
      </c>
      <c r="B4" s="118" t="inlineStr">
        <is>
          <t>Экспорт, млн ₽</t>
        </is>
      </c>
      <c r="C4" s="118" t="inlineStr">
        <is>
          <t>Выручка finmodel</t>
        </is>
      </c>
      <c r="D4" s="118" t="inlineStr">
        <is>
          <t>EBITDA</t>
        </is>
      </c>
      <c r="E4" s="118" t="inlineStr">
        <is>
          <t>NPV @10%</t>
        </is>
      </c>
      <c r="F4" s="118" t="inlineStr">
        <is>
          <t>IRR %</t>
        </is>
      </c>
      <c r="G4" s="118" t="inlineStr">
        <is>
          <t>Примечание</t>
        </is>
      </c>
    </row>
    <row r="5">
      <c r="A5" t="inlineStr">
        <is>
          <t>Птица: весь сбыт РФ (finmodel)</t>
        </is>
      </c>
      <c r="B5" t="n">
        <v>0</v>
      </c>
      <c r="C5" t="n">
        <v>5559.2</v>
      </c>
      <c r="D5" t="n">
        <v>2216.2</v>
      </c>
      <c r="E5" t="n">
        <v>2253.2</v>
      </c>
      <c r="F5" s="121" t="n">
        <v>0.1282</v>
      </c>
      <c r="G5" t="inlineStr">
        <is>
          <t>мясо, яйцо, удобрение — 0% export</t>
        </is>
      </c>
    </row>
    <row r="6">
      <c r="A6" t="inlineStr">
        <is>
          <t>APK Tab#5: Натуральная кожа (КРС+МРС)</t>
        </is>
      </c>
      <c r="B6" t="n">
        <v>1478.5</v>
      </c>
      <c r="G6" t="inlineStr">
        <is>
          <t>consolidated APK; не в NPV finmodel 12 млрд</t>
        </is>
      </c>
    </row>
    <row r="7">
      <c r="A7" t="inlineStr">
        <is>
          <t>APK Tab#5: Желатин халяльный</t>
        </is>
      </c>
      <c r="B7" t="n">
        <v>3840</v>
      </c>
      <c r="G7" t="inlineStr">
        <is>
          <t>consolidated APK; не в NPV finmodel 12 млрд</t>
        </is>
      </c>
    </row>
    <row r="8">
      <c r="A8" t="inlineStr">
        <is>
          <t>APK Tab#5: Шерсть овец</t>
        </is>
      </c>
      <c r="B8" t="n">
        <v>90</v>
      </c>
      <c r="G8" t="inlineStr">
        <is>
          <t>consolidated APK; не в NPV finmodel 12 млрд</t>
        </is>
      </c>
    </row>
    <row r="9">
      <c r="A9" t="inlineStr">
        <is>
          <t>APK Tab#5: Чёрная икра белуги</t>
        </is>
      </c>
      <c r="B9" t="n">
        <v>4800</v>
      </c>
      <c r="G9" t="inlineStr">
        <is>
          <t>consolidated APK; не в NPV finmodel 12 млрд</t>
        </is>
      </c>
    </row>
    <row r="10">
      <c r="A10" t="inlineStr">
        <is>
          <t>ИТОГО APK экспорт (блок 1)</t>
        </is>
      </c>
      <c r="B10" t="n">
        <v>10208.5</v>
      </c>
      <c r="G10" t="inlineStr">
        <is>
          <t>10 208 млн ≈ 10,2 млрд; export-apk-baseline-tab5.md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2026-06-25T05:19:52Z</dcterms:created>
  <dcterms:modified xmlns:dcterms="http://purl.org/dc/terms/" xmlns:xsi="http://www.w3.org/2001/XMLSchema-instance" xsi:type="dcterms:W3CDTF">2026-06-25T18:56:17Z</dcterms:modified>
  <cp:revision>0</cp:revision>
</cp:coreProperties>
</file>