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Y DOCUMENTS\Biznes plan 2025\SVOY\QUYONCHILIK VA NASILCHILIK AGRO KOMPLEKS 120\2-ВАРИАНТ\ВЭБ РФ\"/>
    </mc:Choice>
  </mc:AlternateContent>
  <bookViews>
    <workbookView xWindow="0" yWindow="0" windowWidth="28800" windowHeight="12135"/>
  </bookViews>
  <sheets>
    <sheet name="Лист1" sheetId="1" r:id="rId1"/>
  </sheets>
  <externalReferences>
    <externalReference r:id="rId2"/>
  </externalReferences>
  <calcPr calcId="152511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  <c r="B107" i="1"/>
  <c r="B106" i="1"/>
  <c r="B105" i="1"/>
  <c r="B104" i="1"/>
  <c r="B100" i="1"/>
  <c r="B99" i="1"/>
  <c r="B98" i="1"/>
  <c r="B97" i="1"/>
  <c r="B96" i="1"/>
  <c r="B95" i="1"/>
  <c r="B94" i="1"/>
  <c r="B90" i="1"/>
  <c r="B89" i="1"/>
  <c r="B88" i="1"/>
  <c r="B86" i="1"/>
  <c r="B84" i="1"/>
  <c r="B83" i="1"/>
  <c r="B82" i="1"/>
  <c r="B81" i="1"/>
  <c r="B80" i="1"/>
  <c r="B79" i="1"/>
  <c r="B78" i="1"/>
  <c r="B74" i="1"/>
  <c r="B73" i="1"/>
  <c r="B69" i="1"/>
  <c r="B68" i="1"/>
  <c r="B67" i="1"/>
  <c r="B66" i="1"/>
  <c r="B65" i="1"/>
  <c r="B64" i="1"/>
  <c r="B56" i="1"/>
  <c r="B55" i="1"/>
  <c r="B54" i="1"/>
  <c r="B43" i="1"/>
  <c r="B42" i="1"/>
  <c r="B40" i="1"/>
  <c r="B39" i="1"/>
  <c r="B35" i="1"/>
  <c r="B57" i="1" s="1"/>
  <c r="B34" i="1"/>
  <c r="B32" i="1"/>
  <c r="B30" i="1"/>
  <c r="B29" i="1"/>
  <c r="B26" i="1"/>
  <c r="B25" i="1"/>
  <c r="B21" i="1"/>
  <c r="B22" i="1" s="1"/>
  <c r="B17" i="1"/>
  <c r="B15" i="1"/>
  <c r="B13" i="1"/>
  <c r="B10" i="1"/>
  <c r="B9" i="1"/>
  <c r="C3" i="1"/>
  <c r="C9" i="1" s="1"/>
  <c r="C10" i="1" s="1"/>
  <c r="C11" i="1" s="1"/>
  <c r="C12" i="1" s="1"/>
  <c r="C13" i="1" s="1"/>
  <c r="C14" i="1" s="1"/>
  <c r="C15" i="1" s="1"/>
  <c r="C17" i="1" s="1"/>
  <c r="C18" i="1" s="1"/>
  <c r="C21" i="1" s="1"/>
  <c r="C22" i="1" s="1"/>
  <c r="C25" i="1" s="1"/>
  <c r="C26" i="1" s="1"/>
  <c r="C27" i="1" s="1"/>
  <c r="C28" i="1" s="1"/>
  <c r="C29" i="1" s="1"/>
  <c r="C30" i="1" s="1"/>
  <c r="B3" i="1"/>
  <c r="C32" i="1" l="1"/>
  <c r="C33" i="1" s="1"/>
  <c r="C34" i="1" s="1"/>
  <c r="C35" i="1" s="1"/>
  <c r="C36" i="1" s="1"/>
  <c r="C39" i="1" s="1"/>
  <c r="C40" i="1" s="1"/>
  <c r="C41" i="1" s="1"/>
  <c r="C42" i="1" s="1"/>
  <c r="C43" i="1" s="1"/>
  <c r="C44" i="1" s="1"/>
  <c r="C46" i="1" s="1"/>
  <c r="B58" i="1"/>
  <c r="B101" i="1"/>
  <c r="B59" i="1"/>
  <c r="B36" i="1"/>
  <c r="B119" i="1"/>
  <c r="B70" i="1"/>
  <c r="B118" i="1"/>
  <c r="B91" i="1"/>
  <c r="B108" i="1"/>
  <c r="B120" i="1"/>
  <c r="B121" i="1"/>
  <c r="B44" i="1"/>
  <c r="B18" i="1"/>
  <c r="B117" i="1"/>
  <c r="B75" i="1"/>
  <c r="B122" i="1" l="1"/>
  <c r="C54" i="1"/>
  <c r="C55" i="1" s="1"/>
  <c r="C56" i="1" s="1"/>
  <c r="C57" i="1" s="1"/>
  <c r="C58" i="1" s="1"/>
  <c r="C64" i="1" s="1"/>
  <c r="C65" i="1" s="1"/>
  <c r="B110" i="1"/>
  <c r="B111" i="1" s="1"/>
  <c r="B46" i="1"/>
  <c r="C66" i="1" l="1"/>
  <c r="C67" i="1" s="1"/>
  <c r="B114" i="1"/>
  <c r="B115" i="1" s="1"/>
  <c r="B47" i="1"/>
  <c r="C69" i="1"/>
  <c r="C70" i="1" s="1"/>
  <c r="C73" i="1" s="1"/>
  <c r="C74" i="1" s="1"/>
  <c r="C75" i="1" s="1"/>
  <c r="C78" i="1" s="1"/>
  <c r="C79" i="1" s="1"/>
  <c r="C80" i="1" s="1"/>
  <c r="C81" i="1" s="1"/>
  <c r="C82" i="1" s="1"/>
  <c r="C83" i="1" s="1"/>
  <c r="C84" i="1" s="1"/>
  <c r="C85" i="1" s="1"/>
  <c r="C68" i="1"/>
  <c r="C88" i="1" l="1"/>
  <c r="C89" i="1" s="1"/>
  <c r="C90" i="1" s="1"/>
  <c r="C91" i="1" s="1"/>
  <c r="C94" i="1" s="1"/>
  <c r="C95" i="1" s="1"/>
  <c r="C96" i="1" s="1"/>
  <c r="C97" i="1" s="1"/>
  <c r="C98" i="1" s="1"/>
  <c r="C99" i="1" s="1"/>
  <c r="C100" i="1" s="1"/>
  <c r="C101" i="1" s="1"/>
  <c r="C104" i="1" s="1"/>
  <c r="C86" i="1"/>
  <c r="C106" i="1" l="1"/>
  <c r="C107" i="1" s="1"/>
  <c r="C108" i="1" s="1"/>
  <c r="C109" i="1" s="1"/>
  <c r="C110" i="1" s="1"/>
  <c r="C114" i="1" s="1"/>
  <c r="C117" i="1" s="1"/>
  <c r="C118" i="1" s="1"/>
  <c r="C119" i="1" s="1"/>
  <c r="C120" i="1" s="1"/>
  <c r="C121" i="1" s="1"/>
  <c r="C122" i="1" s="1"/>
  <c r="C105" i="1"/>
</calcChain>
</file>

<file path=xl/sharedStrings.xml><?xml version="1.0" encoding="utf-8"?>
<sst xmlns="http://schemas.openxmlformats.org/spreadsheetml/2006/main" count="100" uniqueCount="51">
  <si>
    <t>ФИНАНСОВАЯ МОДЕЛЬ ПРОЕКТА</t>
  </si>
  <si>
    <t>ПРИЛОЖЕНИЕ 3Б</t>
  </si>
  <si>
    <t>СУММА ИНВЕСТИЦИЙ</t>
  </si>
  <si>
    <t>Источник финансирования</t>
  </si>
  <si>
    <t>Фонд Национального благосостояния (ФНБ)</t>
  </si>
  <si>
    <t>РосАгроЛизинг (РАЛ)</t>
  </si>
  <si>
    <t>Инжиниринговые услуги</t>
  </si>
  <si>
    <t>Всего</t>
  </si>
  <si>
    <t>ИТОГО</t>
  </si>
  <si>
    <t>ДОЛЕВОЕ УЧАСТИЕ В ПРОЕКТЕ, %</t>
  </si>
  <si>
    <t>Фонд Развития Промышленности (ФРП)</t>
  </si>
  <si>
    <t>Министерство Промышленной Торговли (МПТ)</t>
  </si>
  <si>
    <t>Кролиководческая ферма</t>
  </si>
  <si>
    <t xml:space="preserve">Оборудование для генетического центра </t>
  </si>
  <si>
    <t>Оборудование для интенсивного выращивания кроликов</t>
  </si>
  <si>
    <t>Оборудование по производству корма и кормовых добавок</t>
  </si>
  <si>
    <t>Установка компостирования для переработки отходов животноводства</t>
  </si>
  <si>
    <t>Линия убоя, охлаждения и упаковки мясо кроликов</t>
  </si>
  <si>
    <t>Солнечные фотоэлектрические панели</t>
  </si>
  <si>
    <t>Сельхозтехника</t>
  </si>
  <si>
    <t>Племенные кролики</t>
  </si>
  <si>
    <t>Тепличный комплекс</t>
  </si>
  <si>
    <t>Стеклянная голландская теплица для выращивания овощей и цветов</t>
  </si>
  <si>
    <t>Животноводческая ферма</t>
  </si>
  <si>
    <t xml:space="preserve">Животноводческое оборудование </t>
  </si>
  <si>
    <t>Линия для убоя овец и КРС</t>
  </si>
  <si>
    <t>Технологическое оборудование для переработки кожи</t>
  </si>
  <si>
    <t>Технологическое оборудование для производства халяльного желатина</t>
  </si>
  <si>
    <t>Технологическое оборудование для производства молочных продуктов</t>
  </si>
  <si>
    <t>Установка очистки воды</t>
  </si>
  <si>
    <t>Установка Биогаза</t>
  </si>
  <si>
    <t>Линия по переработке крови крупного рогатого скота и овец</t>
  </si>
  <si>
    <t>Сельхозтехника на 12 000,00 га</t>
  </si>
  <si>
    <t>Масложировой комбинат</t>
  </si>
  <si>
    <t>Технологическое оборудование по производству подсолнечного масла</t>
  </si>
  <si>
    <t>Технологическое оборудование по производству маргарина</t>
  </si>
  <si>
    <t xml:space="preserve">Мини-ТЭЦ с теплофикационной турбиной </t>
  </si>
  <si>
    <t>Сельхозтехника на 68 000,00 га</t>
  </si>
  <si>
    <t xml:space="preserve">Коммерческие банки </t>
  </si>
  <si>
    <t>Строительно-монтажные работы (СМР)</t>
  </si>
  <si>
    <t>Проектирование</t>
  </si>
  <si>
    <t>Оборотные средства</t>
  </si>
  <si>
    <t>Племенный крупный рогатый скот мясного направления</t>
  </si>
  <si>
    <t>Племенное поголовье овец мясного направления</t>
  </si>
  <si>
    <t>Племенное поголовье крупного рогатого скота молочного направления</t>
  </si>
  <si>
    <t>Крупный рогатый скот молочного направления</t>
  </si>
  <si>
    <t>Рыбоводческая ферма</t>
  </si>
  <si>
    <t xml:space="preserve">Рыбоводческое оборудование </t>
  </si>
  <si>
    <t xml:space="preserve">Маточное поголовье осётровых рыб белуги </t>
  </si>
  <si>
    <t xml:space="preserve">Мальки (5 грамм) осетровых рыб белуги </t>
  </si>
  <si>
    <t>Мини-ТЭЦ с теплофикационной турбиной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</si>
</sst>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 ;[Red]\-#,##0.00\ 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0"/>
      <name val="Arial Narrow"/>
      <family val="2"/>
      <charset val="204"/>
    </font>
    <font>
      <sz val="20"/>
      <name val="Arial Narrow"/>
      <family val="2"/>
      <charset val="204"/>
    </font>
    <font>
      <b/>
      <sz val="10"/>
      <name val="MS Sans Serif"/>
      <charset val="204"/>
    </font>
    <font>
      <sz val="10"/>
      <name val="MS Sans Serif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 applyBorder="1" applyAlignment="1">
      <alignment horizontal="right" vertical="center"/>
    </xf>
    <xf numFmtId="0" fontId="4" fillId="3" borderId="1" xfId="0" applyFont="1" applyFill="1" applyBorder="1"/>
    <xf numFmtId="40" fontId="4" fillId="3" borderId="1" xfId="0" applyNumberFormat="1" applyFont="1" applyFill="1" applyBorder="1"/>
    <xf numFmtId="0" fontId="4" fillId="0" borderId="0" xfId="0" applyFont="1" applyAlignment="1">
      <alignment horizontal="center"/>
    </xf>
    <xf numFmtId="0" fontId="0" fillId="4" borderId="1" xfId="0" applyFill="1" applyBorder="1"/>
    <xf numFmtId="0" fontId="4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4" borderId="1" xfId="0" applyFont="1" applyFill="1" applyBorder="1"/>
    <xf numFmtId="0" fontId="0" fillId="4" borderId="1" xfId="0" applyFill="1" applyBorder="1" applyAlignment="1">
      <alignment horizontal="center" wrapText="1"/>
    </xf>
    <xf numFmtId="40" fontId="0" fillId="4" borderId="1" xfId="0" applyNumberFormat="1" applyFill="1" applyBorder="1"/>
    <xf numFmtId="40" fontId="0" fillId="0" borderId="0" xfId="0" applyNumberFormat="1"/>
    <xf numFmtId="40" fontId="4" fillId="4" borderId="1" xfId="0" applyNumberFormat="1" applyFont="1" applyFill="1" applyBorder="1"/>
    <xf numFmtId="0" fontId="5" fillId="4" borderId="1" xfId="0" applyFont="1" applyFill="1" applyBorder="1"/>
    <xf numFmtId="10" fontId="4" fillId="4" borderId="1" xfId="1" applyNumberFormat="1" applyFont="1" applyFill="1" applyBorder="1"/>
    <xf numFmtId="0" fontId="5" fillId="0" borderId="0" xfId="0" applyFont="1"/>
    <xf numFmtId="40" fontId="5" fillId="0" borderId="0" xfId="0" applyNumberFormat="1" applyFont="1"/>
    <xf numFmtId="0" fontId="0" fillId="5" borderId="1" xfId="0" applyFill="1" applyBorder="1"/>
    <xf numFmtId="0" fontId="4" fillId="5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left" wrapText="1"/>
    </xf>
    <xf numFmtId="0" fontId="4" fillId="5" borderId="1" xfId="0" applyFont="1" applyFill="1" applyBorder="1" applyAlignment="1">
      <alignment horizontal="left" wrapText="1"/>
    </xf>
    <xf numFmtId="0" fontId="0" fillId="5" borderId="1" xfId="0" applyFill="1" applyBorder="1" applyAlignment="1">
      <alignment horizontal="center" wrapText="1"/>
    </xf>
    <xf numFmtId="40" fontId="0" fillId="5" borderId="1" xfId="0" applyNumberFormat="1" applyFill="1" applyBorder="1"/>
    <xf numFmtId="164" fontId="0" fillId="0" borderId="0" xfId="0" applyNumberFormat="1"/>
    <xf numFmtId="0" fontId="4" fillId="5" borderId="1" xfId="0" applyFont="1" applyFill="1" applyBorder="1"/>
    <xf numFmtId="40" fontId="4" fillId="5" borderId="1" xfId="0" applyNumberFormat="1" applyFont="1" applyFill="1" applyBorder="1"/>
    <xf numFmtId="10" fontId="4" fillId="5" borderId="1" xfId="1" applyNumberFormat="1" applyFont="1" applyFill="1" applyBorder="1"/>
    <xf numFmtId="0" fontId="0" fillId="6" borderId="1" xfId="0" applyFill="1" applyBorder="1"/>
    <xf numFmtId="0" fontId="4" fillId="6" borderId="1" xfId="0" applyFont="1" applyFill="1" applyBorder="1" applyAlignment="1">
      <alignment horizontal="center" wrapText="1"/>
    </xf>
    <xf numFmtId="0" fontId="4" fillId="6" borderId="1" xfId="0" applyFont="1" applyFill="1" applyBorder="1"/>
    <xf numFmtId="40" fontId="0" fillId="6" borderId="1" xfId="0" applyNumberFormat="1" applyFill="1" applyBorder="1"/>
    <xf numFmtId="40" fontId="4" fillId="6" borderId="1" xfId="0" applyNumberFormat="1" applyFont="1" applyFill="1" applyBorder="1"/>
    <xf numFmtId="164" fontId="4" fillId="6" borderId="1" xfId="0" applyNumberFormat="1" applyFont="1" applyFill="1" applyBorder="1"/>
    <xf numFmtId="10" fontId="4" fillId="6" borderId="1" xfId="1" applyNumberFormat="1" applyFont="1" applyFill="1" applyBorder="1"/>
    <xf numFmtId="0" fontId="4" fillId="6" borderId="0" xfId="0" applyFont="1" applyFill="1" applyBorder="1"/>
    <xf numFmtId="164" fontId="4" fillId="6" borderId="0" xfId="0" applyNumberFormat="1" applyFont="1" applyFill="1" applyBorder="1"/>
    <xf numFmtId="0" fontId="0" fillId="6" borderId="0" xfId="0" applyFill="1" applyBorder="1"/>
    <xf numFmtId="164" fontId="4" fillId="3" borderId="1" xfId="0" applyNumberFormat="1" applyFont="1" applyFill="1" applyBorder="1"/>
    <xf numFmtId="0" fontId="0" fillId="0" borderId="1" xfId="0" applyBorder="1"/>
    <xf numFmtId="164" fontId="0" fillId="0" borderId="1" xfId="0" applyNumberFormat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2;&#1069;&#1041;%20&#1056;&#1060;/&#1058;&#1069;&#1054;/1.FinPlan_&#1052;&#1054;&#1071;%20&#1052;&#1045;&#1063;&#1058;&#10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"/>
      <sheetName val="Project Cost"/>
      <sheetName val="FinPlan"/>
      <sheetName val="PC &amp; FP"/>
      <sheetName val="Grafik"/>
      <sheetName val="Фин модел"/>
      <sheetName val="Depr&amp;Amort1"/>
      <sheetName val="Base_Rabbit1"/>
      <sheetName val="Prod plan_Rabbit1"/>
      <sheetName val="Prod plan_RabbitFert1"/>
      <sheetName val="Sale_Rabbit"/>
      <sheetName val="Base_Greenhouse"/>
      <sheetName val="Prod plan_Greenhouse1"/>
      <sheetName val="Prod plan_Greenhouse2"/>
      <sheetName val="Base_Cattle1"/>
      <sheetName val="Base_Cattle0"/>
      <sheetName val="Base_Cattle1.1"/>
      <sheetName val="Prod plan_Cattle1"/>
      <sheetName val="Base_Cattle_Milk"/>
      <sheetName val="Base_Milk1"/>
      <sheetName val="Prod plan_Milk1"/>
      <sheetName val="Base_Leather_Cattle1.1"/>
      <sheetName val="Prod plan_Leather_Cattle"/>
      <sheetName val="Base_Gelatin_Cattle1.1"/>
      <sheetName val="Base_Gelatin_Cattle3"/>
      <sheetName val="Prodplan_Gelatin_Cattle"/>
      <sheetName val="Base_BloodMeal_Cattle1.1"/>
      <sheetName val="Base_BloodMeal_Cattle3"/>
      <sheetName val="Prodplan_BloodMeal_Cattle"/>
      <sheetName val="Base_Manure_Cattle1"/>
      <sheetName val="Base_Biogas_Cattle"/>
      <sheetName val="Sale_Cattle1"/>
      <sheetName val="Base_Sheep1"/>
      <sheetName val="Base_Sheep0"/>
      <sheetName val="Base_Sheep1.1"/>
      <sheetName val="Base_Sheep0_Mer"/>
      <sheetName val="Base_Sheep1.1_Mer"/>
      <sheetName val="Base_Sheep0_Suff"/>
      <sheetName val="Base_Sheep1.2_Suff"/>
      <sheetName val="Base_Sheep0_Dor"/>
      <sheetName val="Base_Sheep1.3_Dor"/>
      <sheetName val="Prod plan_Sheep1"/>
      <sheetName val="Prod plan_Wool1"/>
      <sheetName val="Base_Leather_Sheep1.1"/>
      <sheetName val="Prod plan_Leather_Sheep"/>
      <sheetName val="Base_Gelatin_Sheep1.1"/>
      <sheetName val="Base_Gelatin_Sheep3"/>
      <sheetName val="Prodplan_Gelatin_Sheep"/>
      <sheetName val="Prodplan_Gelatin_Свод"/>
      <sheetName val="Base_BloodMeal_Sheep1.1"/>
      <sheetName val="Base_BloodMeal_Sheep3"/>
      <sheetName val="Prodplan_BloodMeal_Sheep"/>
      <sheetName val="Base_BloodMeal_Свод"/>
      <sheetName val="Base_Manure_Sheep1"/>
      <sheetName val="Base_Biogas_Sheep"/>
      <sheetName val="Sale_Sheep1"/>
      <sheetName val="Base_fish1"/>
      <sheetName val="Prodplan_Fish"/>
      <sheetName val="Base_SunFlower"/>
      <sheetName val="Prodplan_SunFlower1"/>
      <sheetName val="Prodplan_SunFlower2"/>
      <sheetName val="Prodplan_SunFlower3"/>
      <sheetName val="Sale_SunFlower"/>
      <sheetName val="Base_Energy1"/>
      <sheetName val="Base_Energy2"/>
      <sheetName val="Prodplan_Energy"/>
      <sheetName val="Sale_Total1.1"/>
      <sheetName val="Sale_Total2.1"/>
      <sheetName val="Sale_Project"/>
      <sheetName val="Паутина по годам эл"/>
      <sheetName val="Паутина по годам тепл"/>
      <sheetName val="Паутина по годам биоуд"/>
      <sheetName val="Паутина по годам шрот"/>
      <sheetName val="Паутина"/>
      <sheetName val="Паутина2"/>
      <sheetName val="Base_Biogas_Rabbit"/>
      <sheetName val="Base_Biogas_Total"/>
      <sheetName val="Base_Eat_Rabbit1"/>
      <sheetName val="Base_Eat_Cattle1.1"/>
      <sheetName val="Base_Eat_Cattle1"/>
      <sheetName val="Base_Eat_Cattle2.1"/>
      <sheetName val="Base_Eat_Cattle2.2"/>
      <sheetName val="Base_Eat_Cattle2_Total"/>
      <sheetName val="Base_Eat_Sheep1"/>
      <sheetName val="Base_Eat_Sheep2"/>
      <sheetName val="Base_Eat_Fish1"/>
      <sheetName val="Base_RM1.1"/>
      <sheetName val="Base_RM1.2"/>
      <sheetName val="Base_Fields1"/>
      <sheetName val="Base_Feed1"/>
      <sheetName val="Base_Feed1.2"/>
      <sheetName val="Base_Feed1.3"/>
      <sheetName val="Base_Feed1.4"/>
      <sheetName val="Base_Feed1.5"/>
      <sheetName val="Base_Feed1.6"/>
      <sheetName val="Base_Feed1.7"/>
      <sheetName val="Base_Min1"/>
      <sheetName val="Base_Min2"/>
      <sheetName val="Base_Fields_Total"/>
      <sheetName val="RM_A"/>
      <sheetName val="RM_A1"/>
      <sheetName val="RM_A2"/>
      <sheetName val="Energy_Rabbit1"/>
      <sheetName val="Labour_Rabbit1"/>
      <sheetName val="Labour_GreenHouse1"/>
      <sheetName val="Energy_CattleSheep1"/>
      <sheetName val="Labour_Fish1"/>
      <sheetName val="Labour_Sunflower"/>
      <sheetName val="Labour_Sunflower1"/>
      <sheetName val="Meat_Rabbit1"/>
      <sheetName val="Fert_Rabbit1"/>
      <sheetName val="томат"/>
      <sheetName val="огурец"/>
      <sheetName val="перец"/>
      <sheetName val="бакл"/>
      <sheetName val="клуб"/>
      <sheetName val="роза"/>
      <sheetName val="хриз"/>
      <sheetName val="тюл"/>
      <sheetName val="герб"/>
      <sheetName val="лилия"/>
      <sheetName val="Depr&amp;AmortCattle"/>
      <sheetName val="Wage_Cattle1"/>
      <sheetName val="Labour_CattleSheep1"/>
      <sheetName val="Meat_Cattle1"/>
      <sheetName val="Kefir_Cattle1"/>
      <sheetName val="Ryaj_Cattle1"/>
      <sheetName val="Yog_Cattle1"/>
      <sheetName val="Cot_Cattle1"/>
      <sheetName val="Sc_Cattle1"/>
      <sheetName val="Cream_Cattle1"/>
      <sheetName val="Chees_Cattle1"/>
      <sheetName val="Butter_Cattle1"/>
      <sheetName val="Meat_Sheep1"/>
      <sheetName val="Leather_Cattle1"/>
      <sheetName val="Leather_Sheep1"/>
      <sheetName val="Gelatin_Cattle1"/>
      <sheetName val="BloodMeal_Cattle1"/>
      <sheetName val="Fish"/>
      <sheetName val="подсол"/>
      <sheetName val="соя"/>
      <sheetName val="марг"/>
      <sheetName val="Cost"/>
      <sheetName val="CostTotal_Rabbit1"/>
      <sheetName val="CostSold_Rabbit1"/>
      <sheetName val="CostTotal_Greenhouse1"/>
      <sheetName val="CostSold_Greenhouse1"/>
      <sheetName val="CostTotal_CattleSheep1"/>
      <sheetName val="CostSold_CattleSheep1"/>
      <sheetName val="CostTotal_Fish1"/>
      <sheetName val="CostSold_Fish1"/>
      <sheetName val="CostTotal_Sunflower1"/>
      <sheetName val="CostSold_Sunflower1"/>
      <sheetName val="Base_WaterRabbit1"/>
      <sheetName val="TAX_Rabbit1"/>
      <sheetName val="TAX_Greenhouse"/>
      <sheetName val="Base_WaterCattleSheep1"/>
      <sheetName val="TAX_CattleSheep1"/>
      <sheetName val="Base_WaterFish1"/>
      <sheetName val="TAX_Fish"/>
      <sheetName val="Base_WaterSunflower1"/>
      <sheetName val="TAX_Sunflower"/>
      <sheetName val="Base_Water_Total"/>
      <sheetName val="ProfLoss_Rabbit1"/>
      <sheetName val="ProfLoss_Greenhouse1"/>
      <sheetName val="ProfLoss_CattleSheep1"/>
      <sheetName val="ProfLoss_Fish1"/>
      <sheetName val="ProfLoss_Sunflower1"/>
      <sheetName val="ProfLoss_Total"/>
      <sheetName val="KI_Total"/>
      <sheetName val="Cashflow_Rabbit1"/>
      <sheetName val="Cashflow_Greenhouse1"/>
      <sheetName val="Cashflow_CattleSheep1"/>
      <sheetName val="Cashflow_Fish1"/>
      <sheetName val="Cashflow_Sunflower1"/>
      <sheetName val="Cashflow_Total"/>
      <sheetName val="Work_Rabbit1"/>
      <sheetName val="Work_Greenhouse1"/>
      <sheetName val="Work_Cattlesheep1"/>
      <sheetName val="Work_Fish1"/>
      <sheetName val="Work_Sunflower1"/>
      <sheetName val="Balans_Rabbit1"/>
      <sheetName val="Balans_Greenhouse"/>
      <sheetName val="Balans_CattleSheep1"/>
      <sheetName val="Balans_Fish1"/>
      <sheetName val="Balans_Sunflower1"/>
      <sheetName val="Balans_Total"/>
      <sheetName val="NPV_Rabbit"/>
      <sheetName val="KI_Rabbit"/>
      <sheetName val="NPV_Greenhouse"/>
      <sheetName val="KI_Greenhouse"/>
      <sheetName val="NPV_CattleSheep"/>
      <sheetName val="KI_Cattle"/>
      <sheetName val="NPV_Fish"/>
      <sheetName val="KI_Fish"/>
      <sheetName val="NPV_Sunflower"/>
      <sheetName val="KI_Sunflower"/>
      <sheetName val="NPV_Total"/>
      <sheetName val="BE_Rabbit"/>
      <sheetName val="BE_Greenhouse"/>
      <sheetName val="BE_Cattle Sheep"/>
      <sheetName val="BE_Fish"/>
      <sheetName val="BE_Sunflower"/>
      <sheetName val="BE_Total"/>
      <sheetName val="Конец"/>
      <sheetName val="Loans usd"/>
    </sheetNames>
    <sheetDataSet>
      <sheetData sheetId="0"/>
      <sheetData sheetId="1"/>
      <sheetData sheetId="2"/>
      <sheetData sheetId="3">
        <row r="3">
          <cell r="E3" t="str">
            <v>ТЫС.РУБ.</v>
          </cell>
        </row>
        <row r="8">
          <cell r="E8">
            <v>6175000</v>
          </cell>
        </row>
        <row r="9">
          <cell r="E9">
            <v>293400</v>
          </cell>
        </row>
        <row r="10">
          <cell r="E10">
            <v>1275000</v>
          </cell>
        </row>
        <row r="18">
          <cell r="E18">
            <v>958500</v>
          </cell>
        </row>
        <row r="19">
          <cell r="E19">
            <v>360000</v>
          </cell>
        </row>
        <row r="20">
          <cell r="E20">
            <v>122300</v>
          </cell>
        </row>
        <row r="21">
          <cell r="E21">
            <v>1180800</v>
          </cell>
        </row>
        <row r="22">
          <cell r="E22">
            <v>360000</v>
          </cell>
        </row>
        <row r="23">
          <cell r="E23">
            <v>450000</v>
          </cell>
        </row>
        <row r="25">
          <cell r="E25">
            <v>28000</v>
          </cell>
        </row>
        <row r="26">
          <cell r="D26">
            <v>48000</v>
          </cell>
        </row>
        <row r="27">
          <cell r="D27">
            <v>5200</v>
          </cell>
        </row>
        <row r="28">
          <cell r="D28">
            <v>43800</v>
          </cell>
        </row>
        <row r="30">
          <cell r="E30">
            <v>700000</v>
          </cell>
        </row>
        <row r="34">
          <cell r="E34">
            <v>4000000</v>
          </cell>
        </row>
        <row r="35">
          <cell r="E35">
            <v>29800000</v>
          </cell>
        </row>
        <row r="59">
          <cell r="E59">
            <v>7200000</v>
          </cell>
        </row>
        <row r="60">
          <cell r="E60">
            <v>5070500</v>
          </cell>
        </row>
        <row r="61">
          <cell r="E61">
            <v>1080000</v>
          </cell>
        </row>
        <row r="62">
          <cell r="E62">
            <v>0</v>
          </cell>
        </row>
        <row r="63">
          <cell r="E63">
            <v>270000</v>
          </cell>
        </row>
        <row r="64">
          <cell r="E64">
            <v>0</v>
          </cell>
        </row>
        <row r="65">
          <cell r="E65">
            <v>1620000</v>
          </cell>
        </row>
        <row r="66">
          <cell r="E66">
            <v>1080000</v>
          </cell>
        </row>
        <row r="67">
          <cell r="E67">
            <v>108000</v>
          </cell>
        </row>
        <row r="68">
          <cell r="E68">
            <v>513000</v>
          </cell>
        </row>
        <row r="69">
          <cell r="E69">
            <v>630000</v>
          </cell>
        </row>
        <row r="70">
          <cell r="E70">
            <v>1080000</v>
          </cell>
        </row>
        <row r="71">
          <cell r="E71">
            <v>63000</v>
          </cell>
        </row>
        <row r="72">
          <cell r="E72">
            <v>2400000</v>
          </cell>
        </row>
        <row r="73">
          <cell r="E73">
            <v>22500</v>
          </cell>
        </row>
        <row r="74">
          <cell r="E74">
            <v>2361600</v>
          </cell>
        </row>
        <row r="75">
          <cell r="E75">
            <v>1500000</v>
          </cell>
        </row>
        <row r="76">
          <cell r="E76">
            <v>40500</v>
          </cell>
        </row>
        <row r="77">
          <cell r="D77">
            <v>58500</v>
          </cell>
        </row>
        <row r="78">
          <cell r="D78">
            <v>13500</v>
          </cell>
        </row>
        <row r="79">
          <cell r="D79">
            <v>188900</v>
          </cell>
        </row>
        <row r="81">
          <cell r="E81">
            <v>1200000</v>
          </cell>
        </row>
        <row r="85">
          <cell r="E85">
            <v>3700000</v>
          </cell>
        </row>
        <row r="86">
          <cell r="E86">
            <v>1920000</v>
          </cell>
        </row>
        <row r="87">
          <cell r="E87">
            <v>0</v>
          </cell>
        </row>
        <row r="88">
          <cell r="E88">
            <v>16800</v>
          </cell>
        </row>
        <row r="89">
          <cell r="E89">
            <v>2361600</v>
          </cell>
        </row>
        <row r="90">
          <cell r="E90">
            <v>9000</v>
          </cell>
        </row>
        <row r="91">
          <cell r="E91">
            <v>27000</v>
          </cell>
        </row>
        <row r="92">
          <cell r="E92">
            <v>9000</v>
          </cell>
        </row>
        <row r="93">
          <cell r="E93">
            <v>156600</v>
          </cell>
        </row>
        <row r="114">
          <cell r="E114">
            <v>800000</v>
          </cell>
        </row>
        <row r="118">
          <cell r="E118">
            <v>1120000</v>
          </cell>
        </row>
        <row r="119">
          <cell r="D119">
            <v>1400000</v>
          </cell>
        </row>
        <row r="120">
          <cell r="D120">
            <v>60000</v>
          </cell>
        </row>
        <row r="121">
          <cell r="E121">
            <v>1980000</v>
          </cell>
        </row>
        <row r="122">
          <cell r="D122">
            <v>8500000</v>
          </cell>
        </row>
        <row r="123">
          <cell r="D123">
            <v>22000.000000000004</v>
          </cell>
        </row>
        <row r="124">
          <cell r="D124">
            <v>21600</v>
          </cell>
        </row>
        <row r="125">
          <cell r="D125">
            <v>16000</v>
          </cell>
        </row>
        <row r="126">
          <cell r="D126">
            <v>80400</v>
          </cell>
        </row>
        <row r="135">
          <cell r="E135">
            <v>4800000</v>
          </cell>
        </row>
        <row r="141">
          <cell r="D141">
            <v>100000000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2"/>
  <sheetViews>
    <sheetView tabSelected="1" view="pageBreakPreview" topLeftCell="A78" zoomScale="85" zoomScaleNormal="100" zoomScaleSheetLayoutView="85" workbookViewId="0">
      <selection activeCell="B47" sqref="B47"/>
    </sheetView>
  </sheetViews>
  <sheetFormatPr defaultRowHeight="15" x14ac:dyDescent="0.25"/>
  <cols>
    <col min="1" max="1" width="105.140625" bestFit="1" customWidth="1"/>
    <col min="2" max="2" width="33.7109375" bestFit="1" customWidth="1"/>
    <col min="3" max="3" width="26.42578125" bestFit="1" customWidth="1"/>
    <col min="4" max="4" width="10.28515625" bestFit="1" customWidth="1"/>
    <col min="5" max="5" width="111.42578125" bestFit="1" customWidth="1"/>
    <col min="6" max="6" width="11.28515625" bestFit="1" customWidth="1"/>
  </cols>
  <sheetData>
    <row r="1" spans="1:6" s="2" customFormat="1" ht="25.5" x14ac:dyDescent="0.35">
      <c r="A1" s="1" t="s">
        <v>0</v>
      </c>
      <c r="C1" s="3" t="s">
        <v>1</v>
      </c>
    </row>
    <row r="3" spans="1:6" x14ac:dyDescent="0.25">
      <c r="A3" s="4" t="s">
        <v>2</v>
      </c>
      <c r="B3" s="5">
        <f>'[1]PC &amp; FP'!D141</f>
        <v>100000000</v>
      </c>
      <c r="C3" s="4" t="str">
        <f>'[1]PC &amp; FP'!E3</f>
        <v>ТЫС.РУБ.</v>
      </c>
    </row>
    <row r="4" spans="1:6" x14ac:dyDescent="0.25">
      <c r="B4" s="6" t="s">
        <v>3</v>
      </c>
    </row>
    <row r="5" spans="1:6" ht="26.25" x14ac:dyDescent="0.25">
      <c r="A5" s="7"/>
      <c r="B5" s="8" t="s">
        <v>4</v>
      </c>
      <c r="C5" s="7"/>
      <c r="E5" s="9"/>
    </row>
    <row r="6" spans="1:6" x14ac:dyDescent="0.25">
      <c r="A6" s="7"/>
      <c r="B6" s="7"/>
      <c r="C6" s="7"/>
    </row>
    <row r="7" spans="1:6" x14ac:dyDescent="0.25">
      <c r="A7" s="7"/>
      <c r="B7" s="8" t="s">
        <v>5</v>
      </c>
      <c r="C7" s="7"/>
      <c r="E7" s="9"/>
    </row>
    <row r="8" spans="1:6" x14ac:dyDescent="0.25">
      <c r="A8" s="10" t="s">
        <v>12</v>
      </c>
      <c r="B8" s="11"/>
      <c r="C8" s="7"/>
      <c r="E8" s="9"/>
    </row>
    <row r="9" spans="1:6" x14ac:dyDescent="0.25">
      <c r="A9" s="7" t="s">
        <v>13</v>
      </c>
      <c r="B9" s="12">
        <f>'[1]PC &amp; FP'!E9</f>
        <v>293400</v>
      </c>
      <c r="C9" s="7" t="str">
        <f>C3</f>
        <v>ТЫС.РУБ.</v>
      </c>
      <c r="F9" s="13"/>
    </row>
    <row r="10" spans="1:6" x14ac:dyDescent="0.25">
      <c r="A10" s="7" t="s">
        <v>14</v>
      </c>
      <c r="B10" s="12">
        <f>'[1]PC &amp; FP'!E10</f>
        <v>1275000</v>
      </c>
      <c r="C10" s="7" t="str">
        <f>C9</f>
        <v>ТЫС.РУБ.</v>
      </c>
      <c r="F10" s="13"/>
    </row>
    <row r="11" spans="1:6" hidden="1" x14ac:dyDescent="0.25">
      <c r="A11" s="7" t="s">
        <v>15</v>
      </c>
      <c r="B11" s="12"/>
      <c r="C11" s="7" t="str">
        <f t="shared" ref="C11:C15" si="0">C10</f>
        <v>ТЫС.РУБ.</v>
      </c>
      <c r="F11" s="13"/>
    </row>
    <row r="12" spans="1:6" hidden="1" x14ac:dyDescent="0.25">
      <c r="A12" s="7" t="s">
        <v>16</v>
      </c>
      <c r="B12" s="12"/>
      <c r="C12" s="7" t="str">
        <f t="shared" si="0"/>
        <v>ТЫС.РУБ.</v>
      </c>
    </row>
    <row r="13" spans="1:6" x14ac:dyDescent="0.25">
      <c r="A13" s="7" t="s">
        <v>17</v>
      </c>
      <c r="B13" s="12">
        <f>'[1]PC &amp; FP'!E20</f>
        <v>122300</v>
      </c>
      <c r="C13" s="7" t="str">
        <f t="shared" si="0"/>
        <v>ТЫС.РУБ.</v>
      </c>
    </row>
    <row r="14" spans="1:6" hidden="1" x14ac:dyDescent="0.25">
      <c r="A14" s="7" t="s">
        <v>18</v>
      </c>
      <c r="B14" s="12"/>
      <c r="C14" s="7" t="str">
        <f t="shared" si="0"/>
        <v>ТЫС.РУБ.</v>
      </c>
    </row>
    <row r="15" spans="1:6" x14ac:dyDescent="0.25">
      <c r="A15" s="7" t="s">
        <v>19</v>
      </c>
      <c r="B15" s="12">
        <f>'[1]PC &amp; FP'!E22</f>
        <v>360000</v>
      </c>
      <c r="C15" s="7" t="str">
        <f t="shared" si="0"/>
        <v>ТЫС.РУБ.</v>
      </c>
    </row>
    <row r="16" spans="1:6" hidden="1" x14ac:dyDescent="0.25">
      <c r="A16" s="7" t="s">
        <v>20</v>
      </c>
      <c r="B16" s="12"/>
      <c r="C16" s="7"/>
    </row>
    <row r="17" spans="1:3" x14ac:dyDescent="0.25">
      <c r="A17" s="7" t="s">
        <v>6</v>
      </c>
      <c r="B17" s="12">
        <f>'[1]PC &amp; FP'!D26+'[1]PC &amp; FP'!D27+'[1]PC &amp; FP'!D28</f>
        <v>97000</v>
      </c>
      <c r="C17" s="7" t="str">
        <f>C15</f>
        <v>ТЫС.РУБ.</v>
      </c>
    </row>
    <row r="18" spans="1:3" x14ac:dyDescent="0.25">
      <c r="A18" s="10" t="s">
        <v>7</v>
      </c>
      <c r="B18" s="14">
        <f>SUM(B9:B17)</f>
        <v>2147700</v>
      </c>
      <c r="C18" s="7" t="str">
        <f>C17</f>
        <v>ТЫС.РУБ.</v>
      </c>
    </row>
    <row r="19" spans="1:3" x14ac:dyDescent="0.25">
      <c r="A19" s="10"/>
      <c r="B19" s="14"/>
      <c r="C19" s="7"/>
    </row>
    <row r="20" spans="1:3" x14ac:dyDescent="0.25">
      <c r="A20" s="10" t="s">
        <v>21</v>
      </c>
      <c r="B20" s="14"/>
      <c r="C20" s="7"/>
    </row>
    <row r="21" spans="1:3" x14ac:dyDescent="0.25">
      <c r="A21" s="7" t="s">
        <v>22</v>
      </c>
      <c r="B21" s="12">
        <f>'[1]PC &amp; FP'!E35</f>
        <v>29800000</v>
      </c>
      <c r="C21" s="7" t="str">
        <f>C18</f>
        <v>ТЫС.РУБ.</v>
      </c>
    </row>
    <row r="22" spans="1:3" x14ac:dyDescent="0.25">
      <c r="A22" s="10" t="s">
        <v>7</v>
      </c>
      <c r="B22" s="14">
        <f>B21</f>
        <v>29800000</v>
      </c>
      <c r="C22" s="7" t="str">
        <f>C21</f>
        <v>ТЫС.РУБ.</v>
      </c>
    </row>
    <row r="23" spans="1:3" x14ac:dyDescent="0.25">
      <c r="A23" s="7"/>
      <c r="B23" s="12"/>
      <c r="C23" s="7"/>
    </row>
    <row r="24" spans="1:3" x14ac:dyDescent="0.25">
      <c r="A24" s="10" t="s">
        <v>23</v>
      </c>
      <c r="B24" s="12"/>
      <c r="C24" s="7"/>
    </row>
    <row r="25" spans="1:3" x14ac:dyDescent="0.25">
      <c r="A25" s="15" t="s">
        <v>24</v>
      </c>
      <c r="B25" s="12">
        <f>'[1]PC &amp; FP'!E60</f>
        <v>5070500</v>
      </c>
      <c r="C25" s="7" t="str">
        <f>C22</f>
        <v>ТЫС.РУБ.</v>
      </c>
    </row>
    <row r="26" spans="1:3" x14ac:dyDescent="0.25">
      <c r="A26" s="7" t="s">
        <v>25</v>
      </c>
      <c r="B26" s="12">
        <f>'[1]PC &amp; FP'!E67</f>
        <v>108000</v>
      </c>
      <c r="C26" s="7" t="str">
        <f>C25</f>
        <v>ТЫС.РУБ.</v>
      </c>
    </row>
    <row r="27" spans="1:3" hidden="1" x14ac:dyDescent="0.25">
      <c r="A27" s="7" t="s">
        <v>26</v>
      </c>
      <c r="B27" s="12"/>
      <c r="C27" s="7" t="str">
        <f t="shared" ref="C27:C36" si="1">C26</f>
        <v>ТЫС.РУБ.</v>
      </c>
    </row>
    <row r="28" spans="1:3" hidden="1" x14ac:dyDescent="0.25">
      <c r="A28" s="7" t="s">
        <v>27</v>
      </c>
      <c r="B28" s="12"/>
      <c r="C28" s="7" t="str">
        <f t="shared" si="1"/>
        <v>ТЫС.РУБ.</v>
      </c>
    </row>
    <row r="29" spans="1:3" x14ac:dyDescent="0.25">
      <c r="A29" s="7" t="s">
        <v>28</v>
      </c>
      <c r="B29" s="12">
        <f>'[1]PC &amp; FP'!E70</f>
        <v>1080000</v>
      </c>
      <c r="C29" s="7" t="str">
        <f t="shared" si="1"/>
        <v>ТЫС.РУБ.</v>
      </c>
    </row>
    <row r="30" spans="1:3" x14ac:dyDescent="0.25">
      <c r="A30" s="7" t="s">
        <v>29</v>
      </c>
      <c r="B30" s="12">
        <f>'[1]PC &amp; FP'!E71</f>
        <v>63000</v>
      </c>
      <c r="C30" s="7" t="str">
        <f t="shared" si="1"/>
        <v>ТЫС.РУБ.</v>
      </c>
    </row>
    <row r="31" spans="1:3" hidden="1" x14ac:dyDescent="0.25">
      <c r="A31" s="7" t="s">
        <v>30</v>
      </c>
      <c r="B31" s="12"/>
      <c r="C31" s="7" t="str">
        <f t="shared" si="1"/>
        <v>ТЫС.РУБ.</v>
      </c>
    </row>
    <row r="32" spans="1:3" x14ac:dyDescent="0.25">
      <c r="A32" s="7" t="s">
        <v>31</v>
      </c>
      <c r="B32" s="12">
        <f>'[1]PC &amp; FP'!E73</f>
        <v>22500</v>
      </c>
      <c r="C32" s="7" t="str">
        <f>C31</f>
        <v>ТЫС.РУБ.</v>
      </c>
    </row>
    <row r="33" spans="1:3" hidden="1" x14ac:dyDescent="0.25">
      <c r="A33" s="7" t="s">
        <v>18</v>
      </c>
      <c r="B33" s="12"/>
      <c r="C33" s="7" t="str">
        <f t="shared" si="1"/>
        <v>ТЫС.РУБ.</v>
      </c>
    </row>
    <row r="34" spans="1:3" x14ac:dyDescent="0.25">
      <c r="A34" s="7" t="s">
        <v>32</v>
      </c>
      <c r="B34" s="12">
        <f>'[1]PC &amp; FP'!E75</f>
        <v>1500000</v>
      </c>
      <c r="C34" s="7" t="str">
        <f t="shared" si="1"/>
        <v>ТЫС.РУБ.</v>
      </c>
    </row>
    <row r="35" spans="1:3" x14ac:dyDescent="0.25">
      <c r="A35" s="7" t="s">
        <v>6</v>
      </c>
      <c r="B35" s="12">
        <f>('[1]PC &amp; FP'!D77+'[1]PC &amp; FP'!D78+'[1]PC &amp; FP'!D79)*70%</f>
        <v>182630</v>
      </c>
      <c r="C35" s="7" t="str">
        <f t="shared" si="1"/>
        <v>ТЫС.РУБ.</v>
      </c>
    </row>
    <row r="36" spans="1:3" x14ac:dyDescent="0.25">
      <c r="A36" s="10" t="s">
        <v>7</v>
      </c>
      <c r="B36" s="14">
        <f>SUM(B25:B35)</f>
        <v>8026630</v>
      </c>
      <c r="C36" s="7" t="str">
        <f t="shared" si="1"/>
        <v>ТЫС.РУБ.</v>
      </c>
    </row>
    <row r="37" spans="1:3" x14ac:dyDescent="0.25">
      <c r="A37" s="7"/>
      <c r="B37" s="12"/>
      <c r="C37" s="7"/>
    </row>
    <row r="38" spans="1:3" x14ac:dyDescent="0.25">
      <c r="A38" s="10" t="s">
        <v>33</v>
      </c>
      <c r="B38" s="12"/>
      <c r="C38" s="7"/>
    </row>
    <row r="39" spans="1:3" x14ac:dyDescent="0.25">
      <c r="A39" s="7" t="s">
        <v>34</v>
      </c>
      <c r="B39" s="12">
        <f>'[1]PC &amp; FP'!D119</f>
        <v>1400000</v>
      </c>
      <c r="C39" s="7" t="str">
        <f>C36</f>
        <v>ТЫС.РУБ.</v>
      </c>
    </row>
    <row r="40" spans="1:3" x14ac:dyDescent="0.25">
      <c r="A40" s="7" t="s">
        <v>35</v>
      </c>
      <c r="B40" s="12">
        <f>'[1]PC &amp; FP'!D120</f>
        <v>60000</v>
      </c>
      <c r="C40" s="7" t="str">
        <f>C39</f>
        <v>ТЫС.РУБ.</v>
      </c>
    </row>
    <row r="41" spans="1:3" hidden="1" x14ac:dyDescent="0.25">
      <c r="A41" s="7" t="s">
        <v>36</v>
      </c>
      <c r="B41" s="12"/>
      <c r="C41" s="7" t="str">
        <f t="shared" ref="C41:C44" si="2">C40</f>
        <v>ТЫС.РУБ.</v>
      </c>
    </row>
    <row r="42" spans="1:3" x14ac:dyDescent="0.25">
      <c r="A42" s="7" t="s">
        <v>37</v>
      </c>
      <c r="B42" s="12">
        <f>'[1]PC &amp; FP'!D122</f>
        <v>8500000</v>
      </c>
      <c r="C42" s="7" t="str">
        <f t="shared" si="2"/>
        <v>ТЫС.РУБ.</v>
      </c>
    </row>
    <row r="43" spans="1:3" x14ac:dyDescent="0.25">
      <c r="A43" s="7" t="s">
        <v>6</v>
      </c>
      <c r="B43" s="12">
        <f>'[1]PC &amp; FP'!D124+'[1]PC &amp; FP'!D125+'[1]PC &amp; FP'!D126</f>
        <v>118000</v>
      </c>
      <c r="C43" s="7" t="str">
        <f t="shared" si="2"/>
        <v>ТЫС.РУБ.</v>
      </c>
    </row>
    <row r="44" spans="1:3" x14ac:dyDescent="0.25">
      <c r="A44" s="10" t="s">
        <v>7</v>
      </c>
      <c r="B44" s="14">
        <f>SUM(B39:B43)</f>
        <v>10078000</v>
      </c>
      <c r="C44" s="7" t="str">
        <f t="shared" si="2"/>
        <v>ТЫС.РУБ.</v>
      </c>
    </row>
    <row r="45" spans="1:3" x14ac:dyDescent="0.25">
      <c r="A45" s="10"/>
      <c r="B45" s="14"/>
      <c r="C45" s="7"/>
    </row>
    <row r="46" spans="1:3" x14ac:dyDescent="0.25">
      <c r="A46" s="10" t="s">
        <v>8</v>
      </c>
      <c r="B46" s="14">
        <f>B18+B22+B36+B44</f>
        <v>50052330</v>
      </c>
      <c r="C46" s="7" t="str">
        <f>C44</f>
        <v>ТЫС.РУБ.</v>
      </c>
    </row>
    <row r="47" spans="1:3" x14ac:dyDescent="0.25">
      <c r="A47" s="10" t="s">
        <v>9</v>
      </c>
      <c r="B47" s="16">
        <f>B46/B3</f>
        <v>0.5005233</v>
      </c>
      <c r="C47" s="10"/>
    </row>
    <row r="48" spans="1:3" s="17" customFormat="1" ht="12.75" x14ac:dyDescent="0.2">
      <c r="B48" s="18"/>
    </row>
    <row r="49" spans="1:4" ht="39" x14ac:dyDescent="0.25">
      <c r="A49" s="21"/>
      <c r="B49" s="20" t="s">
        <v>11</v>
      </c>
      <c r="C49" s="19"/>
    </row>
    <row r="50" spans="1:4" x14ac:dyDescent="0.25">
      <c r="A50" s="21"/>
      <c r="B50" s="20"/>
      <c r="C50" s="19"/>
    </row>
    <row r="51" spans="1:4" ht="26.25" x14ac:dyDescent="0.25">
      <c r="A51" s="19"/>
      <c r="B51" s="20" t="s">
        <v>10</v>
      </c>
      <c r="C51" s="19"/>
    </row>
    <row r="52" spans="1:4" x14ac:dyDescent="0.25">
      <c r="A52" s="19"/>
      <c r="B52" s="19"/>
      <c r="C52" s="19"/>
    </row>
    <row r="53" spans="1:4" x14ac:dyDescent="0.25">
      <c r="A53" s="22" t="s">
        <v>23</v>
      </c>
      <c r="B53" s="23"/>
      <c r="C53" s="19"/>
    </row>
    <row r="54" spans="1:4" x14ac:dyDescent="0.25">
      <c r="A54" s="19" t="s">
        <v>26</v>
      </c>
      <c r="B54" s="24">
        <f>'[1]PC &amp; FP'!E68</f>
        <v>513000</v>
      </c>
      <c r="C54" s="19" t="str">
        <f>C44</f>
        <v>ТЫС.РУБ.</v>
      </c>
    </row>
    <row r="55" spans="1:4" x14ac:dyDescent="0.25">
      <c r="A55" s="19" t="s">
        <v>27</v>
      </c>
      <c r="B55" s="24">
        <f>'[1]PC &amp; FP'!E69</f>
        <v>630000</v>
      </c>
      <c r="C55" s="19" t="str">
        <f>C54</f>
        <v>ТЫС.РУБ.</v>
      </c>
    </row>
    <row r="56" spans="1:4" x14ac:dyDescent="0.25">
      <c r="A56" s="19" t="s">
        <v>15</v>
      </c>
      <c r="B56" s="24">
        <f>'[1]PC &amp; FP'!E18</f>
        <v>958500</v>
      </c>
      <c r="C56" s="19" t="str">
        <f>C55</f>
        <v>ТЫС.РУБ.</v>
      </c>
    </row>
    <row r="57" spans="1:4" x14ac:dyDescent="0.25">
      <c r="A57" s="19" t="s">
        <v>6</v>
      </c>
      <c r="B57" s="24">
        <f>('[1]PC &amp; FP'!D77+'[1]PC &amp; FP'!D78+'[1]PC &amp; FP'!D79)-B35</f>
        <v>78270</v>
      </c>
      <c r="C57" s="19" t="str">
        <f>C56</f>
        <v>ТЫС.РУБ.</v>
      </c>
      <c r="D57" s="25"/>
    </row>
    <row r="58" spans="1:4" x14ac:dyDescent="0.25">
      <c r="A58" s="26" t="s">
        <v>7</v>
      </c>
      <c r="B58" s="27">
        <f>SUM(B54:B57)</f>
        <v>2179770</v>
      </c>
      <c r="C58" s="19" t="str">
        <f>C57</f>
        <v>ТЫС.РУБ.</v>
      </c>
    </row>
    <row r="59" spans="1:4" x14ac:dyDescent="0.25">
      <c r="A59" s="26" t="s">
        <v>9</v>
      </c>
      <c r="B59" s="28">
        <f>B58/B3</f>
        <v>2.17977E-2</v>
      </c>
      <c r="C59" s="26"/>
    </row>
    <row r="61" spans="1:4" x14ac:dyDescent="0.25">
      <c r="A61" s="29"/>
      <c r="B61" s="30" t="s">
        <v>38</v>
      </c>
      <c r="C61" s="29"/>
    </row>
    <row r="62" spans="1:4" x14ac:dyDescent="0.25">
      <c r="A62" s="29"/>
      <c r="B62" s="29"/>
      <c r="C62" s="29"/>
    </row>
    <row r="63" spans="1:4" x14ac:dyDescent="0.25">
      <c r="A63" s="31" t="s">
        <v>12</v>
      </c>
      <c r="B63" s="29"/>
      <c r="C63" s="29"/>
    </row>
    <row r="64" spans="1:4" x14ac:dyDescent="0.25">
      <c r="A64" s="29" t="s">
        <v>39</v>
      </c>
      <c r="B64" s="32">
        <f>'[1]PC &amp; FP'!E8</f>
        <v>6175000</v>
      </c>
      <c r="C64" s="29" t="str">
        <f>C58</f>
        <v>ТЫС.РУБ.</v>
      </c>
    </row>
    <row r="65" spans="1:3" x14ac:dyDescent="0.25">
      <c r="A65" s="29" t="s">
        <v>16</v>
      </c>
      <c r="B65" s="32">
        <f>'[1]PC &amp; FP'!E19</f>
        <v>360000</v>
      </c>
      <c r="C65" s="29" t="str">
        <f>C64</f>
        <v>ТЫС.РУБ.</v>
      </c>
    </row>
    <row r="66" spans="1:3" x14ac:dyDescent="0.25">
      <c r="A66" s="29" t="s">
        <v>18</v>
      </c>
      <c r="B66" s="32">
        <f>'[1]PC &amp; FP'!E21</f>
        <v>1180800</v>
      </c>
      <c r="C66" s="29" t="str">
        <f>C64</f>
        <v>ТЫС.РУБ.</v>
      </c>
    </row>
    <row r="67" spans="1:3" x14ac:dyDescent="0.25">
      <c r="A67" s="32" t="s">
        <v>40</v>
      </c>
      <c r="B67" s="32">
        <f>'[1]PC &amp; FP'!E25</f>
        <v>28000</v>
      </c>
      <c r="C67" s="29" t="str">
        <f t="shared" ref="C67:C70" si="3">C66</f>
        <v>ТЫС.РУБ.</v>
      </c>
    </row>
    <row r="68" spans="1:3" x14ac:dyDescent="0.25">
      <c r="A68" s="32" t="s">
        <v>20</v>
      </c>
      <c r="B68" s="32">
        <f>'[1]PC &amp; FP'!E23</f>
        <v>450000</v>
      </c>
      <c r="C68" s="29" t="str">
        <f>C67</f>
        <v>ТЫС.РУБ.</v>
      </c>
    </row>
    <row r="69" spans="1:3" x14ac:dyDescent="0.25">
      <c r="A69" s="29" t="s">
        <v>41</v>
      </c>
      <c r="B69" s="32">
        <f>'[1]PC &amp; FP'!E30</f>
        <v>700000</v>
      </c>
      <c r="C69" s="29" t="str">
        <f>C67</f>
        <v>ТЫС.РУБ.</v>
      </c>
    </row>
    <row r="70" spans="1:3" x14ac:dyDescent="0.25">
      <c r="A70" s="31" t="s">
        <v>7</v>
      </c>
      <c r="B70" s="33">
        <f>SUM(B64:B69)</f>
        <v>8893800</v>
      </c>
      <c r="C70" s="29" t="str">
        <f t="shared" si="3"/>
        <v>ТЫС.РУБ.</v>
      </c>
    </row>
    <row r="71" spans="1:3" x14ac:dyDescent="0.25">
      <c r="A71" s="29"/>
      <c r="B71" s="29"/>
      <c r="C71" s="29"/>
    </row>
    <row r="72" spans="1:3" x14ac:dyDescent="0.25">
      <c r="A72" s="31" t="s">
        <v>21</v>
      </c>
      <c r="B72" s="29"/>
      <c r="C72" s="29"/>
    </row>
    <row r="73" spans="1:3" x14ac:dyDescent="0.25">
      <c r="A73" s="29" t="s">
        <v>39</v>
      </c>
      <c r="B73" s="32">
        <f>'[1]PC &amp; FP'!E34</f>
        <v>4000000</v>
      </c>
      <c r="C73" s="29" t="str">
        <f>C70</f>
        <v>ТЫС.РУБ.</v>
      </c>
    </row>
    <row r="74" spans="1:3" x14ac:dyDescent="0.25">
      <c r="A74" s="29" t="s">
        <v>41</v>
      </c>
      <c r="B74" s="32">
        <f>'[1]PC &amp; FP'!E30</f>
        <v>700000</v>
      </c>
      <c r="C74" s="29" t="str">
        <f>C73</f>
        <v>ТЫС.РУБ.</v>
      </c>
    </row>
    <row r="75" spans="1:3" x14ac:dyDescent="0.25">
      <c r="A75" s="31" t="s">
        <v>7</v>
      </c>
      <c r="B75" s="33">
        <f>SUM(B73:B74)</f>
        <v>4700000</v>
      </c>
      <c r="C75" s="29" t="str">
        <f>C74</f>
        <v>ТЫС.РУБ.</v>
      </c>
    </row>
    <row r="76" spans="1:3" x14ac:dyDescent="0.25">
      <c r="A76" s="29"/>
      <c r="B76" s="29"/>
      <c r="C76" s="29"/>
    </row>
    <row r="77" spans="1:3" x14ac:dyDescent="0.25">
      <c r="A77" s="31" t="s">
        <v>23</v>
      </c>
      <c r="B77" s="29"/>
      <c r="C77" s="29"/>
    </row>
    <row r="78" spans="1:3" x14ac:dyDescent="0.25">
      <c r="A78" s="29" t="s">
        <v>39</v>
      </c>
      <c r="B78" s="32">
        <f>'[1]PC &amp; FP'!E59</f>
        <v>7200000</v>
      </c>
      <c r="C78" s="29" t="str">
        <f>C75</f>
        <v>ТЫС.РУБ.</v>
      </c>
    </row>
    <row r="79" spans="1:3" x14ac:dyDescent="0.25">
      <c r="A79" s="29" t="s">
        <v>42</v>
      </c>
      <c r="B79" s="32">
        <f>'[1]PC &amp; FP'!E61</f>
        <v>1080000</v>
      </c>
      <c r="C79" s="29" t="str">
        <f>C78</f>
        <v>ТЫС.РУБ.</v>
      </c>
    </row>
    <row r="80" spans="1:3" hidden="1" x14ac:dyDescent="0.25">
      <c r="A80" s="29">
        <v>0</v>
      </c>
      <c r="B80" s="32">
        <f>'[1]PC &amp; FP'!E62</f>
        <v>0</v>
      </c>
      <c r="C80" s="29" t="str">
        <f t="shared" ref="C80:C91" si="4">C79</f>
        <v>ТЫС.РУБ.</v>
      </c>
    </row>
    <row r="81" spans="1:3" x14ac:dyDescent="0.25">
      <c r="A81" s="29" t="s">
        <v>43</v>
      </c>
      <c r="B81" s="32">
        <f>'[1]PC &amp; FP'!E63</f>
        <v>270000</v>
      </c>
      <c r="C81" s="29" t="str">
        <f t="shared" si="4"/>
        <v>ТЫС.РУБ.</v>
      </c>
    </row>
    <row r="82" spans="1:3" hidden="1" x14ac:dyDescent="0.25">
      <c r="A82" s="29">
        <v>0</v>
      </c>
      <c r="B82" s="32">
        <f>'[1]PC &amp; FP'!E64</f>
        <v>0</v>
      </c>
      <c r="C82" s="29" t="str">
        <f t="shared" si="4"/>
        <v>ТЫС.РУБ.</v>
      </c>
    </row>
    <row r="83" spans="1:3" x14ac:dyDescent="0.25">
      <c r="A83" s="29" t="s">
        <v>44</v>
      </c>
      <c r="B83" s="32">
        <f>'[1]PC &amp; FP'!E65</f>
        <v>1620000</v>
      </c>
      <c r="C83" s="29" t="str">
        <f t="shared" si="4"/>
        <v>ТЫС.РУБ.</v>
      </c>
    </row>
    <row r="84" spans="1:3" x14ac:dyDescent="0.25">
      <c r="A84" s="29" t="s">
        <v>45</v>
      </c>
      <c r="B84" s="32">
        <f>'[1]PC &amp; FP'!E66</f>
        <v>1080000</v>
      </c>
      <c r="C84" s="29" t="str">
        <f t="shared" si="4"/>
        <v>ТЫС.РУБ.</v>
      </c>
    </row>
    <row r="85" spans="1:3" hidden="1" x14ac:dyDescent="0.25">
      <c r="A85" s="29" t="s">
        <v>25</v>
      </c>
      <c r="B85" s="32"/>
      <c r="C85" s="29" t="str">
        <f t="shared" si="4"/>
        <v>ТЫС.РУБ.</v>
      </c>
    </row>
    <row r="86" spans="1:3" x14ac:dyDescent="0.25">
      <c r="A86" s="29" t="s">
        <v>30</v>
      </c>
      <c r="B86" s="32">
        <f>'[1]PC &amp; FP'!E72</f>
        <v>2400000</v>
      </c>
      <c r="C86" s="29" t="str">
        <f>C85</f>
        <v>ТЫС.РУБ.</v>
      </c>
    </row>
    <row r="87" spans="1:3" hidden="1" x14ac:dyDescent="0.25">
      <c r="A87" s="29"/>
      <c r="B87" s="32"/>
      <c r="C87" s="29"/>
    </row>
    <row r="88" spans="1:3" x14ac:dyDescent="0.25">
      <c r="A88" s="29" t="s">
        <v>18</v>
      </c>
      <c r="B88" s="32">
        <f>'[1]PC &amp; FP'!E74</f>
        <v>2361600</v>
      </c>
      <c r="C88" s="29" t="str">
        <f>C85</f>
        <v>ТЫС.РУБ.</v>
      </c>
    </row>
    <row r="89" spans="1:3" x14ac:dyDescent="0.25">
      <c r="A89" s="29" t="s">
        <v>40</v>
      </c>
      <c r="B89" s="32">
        <f>'[1]PC &amp; FP'!E76</f>
        <v>40500</v>
      </c>
      <c r="C89" s="29" t="str">
        <f t="shared" si="4"/>
        <v>ТЫС.РУБ.</v>
      </c>
    </row>
    <row r="90" spans="1:3" x14ac:dyDescent="0.25">
      <c r="A90" s="29" t="s">
        <v>41</v>
      </c>
      <c r="B90" s="32">
        <f>'[1]PC &amp; FP'!E81</f>
        <v>1200000</v>
      </c>
      <c r="C90" s="29" t="str">
        <f t="shared" si="4"/>
        <v>ТЫС.РУБ.</v>
      </c>
    </row>
    <row r="91" spans="1:3" x14ac:dyDescent="0.25">
      <c r="A91" s="31" t="s">
        <v>7</v>
      </c>
      <c r="B91" s="33">
        <f>SUM(B78:B90)</f>
        <v>17252100</v>
      </c>
      <c r="C91" s="29" t="str">
        <f t="shared" si="4"/>
        <v>ТЫС.РУБ.</v>
      </c>
    </row>
    <row r="92" spans="1:3" x14ac:dyDescent="0.25">
      <c r="A92" s="29"/>
      <c r="B92" s="29"/>
      <c r="C92" s="29"/>
    </row>
    <row r="93" spans="1:3" x14ac:dyDescent="0.25">
      <c r="A93" s="31" t="s">
        <v>46</v>
      </c>
      <c r="B93" s="29"/>
      <c r="C93" s="29"/>
    </row>
    <row r="94" spans="1:3" x14ac:dyDescent="0.25">
      <c r="A94" s="29" t="s">
        <v>39</v>
      </c>
      <c r="B94" s="32">
        <f>'[1]PC &amp; FP'!E85</f>
        <v>3700000</v>
      </c>
      <c r="C94" s="29" t="str">
        <f>C91</f>
        <v>ТЫС.РУБ.</v>
      </c>
    </row>
    <row r="95" spans="1:3" x14ac:dyDescent="0.25">
      <c r="A95" s="29" t="s">
        <v>47</v>
      </c>
      <c r="B95" s="32">
        <f>'[1]PC &amp; FP'!E86</f>
        <v>1920000</v>
      </c>
      <c r="C95" s="29" t="str">
        <f>C94</f>
        <v>ТЫС.РУБ.</v>
      </c>
    </row>
    <row r="96" spans="1:3" hidden="1" x14ac:dyDescent="0.25">
      <c r="A96" s="29" t="s">
        <v>48</v>
      </c>
      <c r="B96" s="32">
        <f>'[1]PC &amp; FP'!E87</f>
        <v>0</v>
      </c>
      <c r="C96" s="29" t="str">
        <f t="shared" ref="C96:C101" si="5">C95</f>
        <v>ТЫС.РУБ.</v>
      </c>
    </row>
    <row r="97" spans="1:3" x14ac:dyDescent="0.25">
      <c r="A97" s="29" t="s">
        <v>49</v>
      </c>
      <c r="B97" s="32">
        <f>'[1]PC &amp; FP'!E88</f>
        <v>16800</v>
      </c>
      <c r="C97" s="29" t="str">
        <f t="shared" si="5"/>
        <v>ТЫС.РУБ.</v>
      </c>
    </row>
    <row r="98" spans="1:3" x14ac:dyDescent="0.25">
      <c r="A98" s="29" t="s">
        <v>18</v>
      </c>
      <c r="B98" s="32">
        <f>'[1]PC &amp; FP'!E89</f>
        <v>2361600</v>
      </c>
      <c r="C98" s="29" t="str">
        <f t="shared" si="5"/>
        <v>ТЫС.РУБ.</v>
      </c>
    </row>
    <row r="99" spans="1:3" x14ac:dyDescent="0.25">
      <c r="A99" s="29" t="s">
        <v>6</v>
      </c>
      <c r="B99" s="32">
        <f>SUM('[1]PC &amp; FP'!E90:E93)</f>
        <v>201600</v>
      </c>
      <c r="C99" s="29" t="str">
        <f t="shared" si="5"/>
        <v>ТЫС.РУБ.</v>
      </c>
    </row>
    <row r="100" spans="1:3" x14ac:dyDescent="0.25">
      <c r="A100" s="29" t="s">
        <v>41</v>
      </c>
      <c r="B100" s="32">
        <f>'[1]PC &amp; FP'!E114</f>
        <v>800000</v>
      </c>
      <c r="C100" s="29" t="str">
        <f t="shared" si="5"/>
        <v>ТЫС.РУБ.</v>
      </c>
    </row>
    <row r="101" spans="1:3" x14ac:dyDescent="0.25">
      <c r="A101" s="31" t="s">
        <v>7</v>
      </c>
      <c r="B101" s="33">
        <f>SUM(B94:B100)</f>
        <v>9000000</v>
      </c>
      <c r="C101" s="29" t="str">
        <f t="shared" si="5"/>
        <v>ТЫС.РУБ.</v>
      </c>
    </row>
    <row r="102" spans="1:3" x14ac:dyDescent="0.25">
      <c r="A102" s="29"/>
      <c r="B102" s="29"/>
      <c r="C102" s="29"/>
    </row>
    <row r="103" spans="1:3" x14ac:dyDescent="0.25">
      <c r="A103" s="31" t="s">
        <v>33</v>
      </c>
      <c r="B103" s="29"/>
      <c r="C103" s="29"/>
    </row>
    <row r="104" spans="1:3" x14ac:dyDescent="0.25">
      <c r="A104" s="29" t="s">
        <v>39</v>
      </c>
      <c r="B104" s="32">
        <f>'[1]PC &amp; FP'!E118</f>
        <v>1120000</v>
      </c>
      <c r="C104" s="29" t="str">
        <f>C101</f>
        <v>ТЫС.РУБ.</v>
      </c>
    </row>
    <row r="105" spans="1:3" x14ac:dyDescent="0.25">
      <c r="A105" s="29" t="s">
        <v>50</v>
      </c>
      <c r="B105" s="32">
        <f>'[1]PC &amp; FP'!E121</f>
        <v>1980000</v>
      </c>
      <c r="C105" s="29" t="str">
        <f>C104</f>
        <v>ТЫС.РУБ.</v>
      </c>
    </row>
    <row r="106" spans="1:3" x14ac:dyDescent="0.25">
      <c r="A106" s="29" t="s">
        <v>40</v>
      </c>
      <c r="B106" s="32">
        <f>'[1]PC &amp; FP'!D123</f>
        <v>22000.000000000004</v>
      </c>
      <c r="C106" s="29" t="str">
        <f>C104</f>
        <v>ТЫС.РУБ.</v>
      </c>
    </row>
    <row r="107" spans="1:3" x14ac:dyDescent="0.25">
      <c r="A107" s="29" t="s">
        <v>41</v>
      </c>
      <c r="B107" s="32">
        <f>'[1]PC &amp; FP'!E135</f>
        <v>4800000</v>
      </c>
      <c r="C107" s="29" t="str">
        <f>C106</f>
        <v>ТЫС.РУБ.</v>
      </c>
    </row>
    <row r="108" spans="1:3" x14ac:dyDescent="0.25">
      <c r="A108" s="31" t="s">
        <v>7</v>
      </c>
      <c r="B108" s="33">
        <f>SUM(B104:B107)</f>
        <v>7922000</v>
      </c>
      <c r="C108" s="29" t="str">
        <f>C107</f>
        <v>ТЫС.РУБ.</v>
      </c>
    </row>
    <row r="109" spans="1:3" x14ac:dyDescent="0.25">
      <c r="A109" s="29"/>
      <c r="B109" s="29"/>
      <c r="C109" s="29" t="str">
        <f>C108</f>
        <v>ТЫС.РУБ.</v>
      </c>
    </row>
    <row r="110" spans="1:3" x14ac:dyDescent="0.25">
      <c r="A110" s="31" t="s">
        <v>8</v>
      </c>
      <c r="B110" s="34">
        <f>B70+B75+B91+B101+B108</f>
        <v>47767900</v>
      </c>
      <c r="C110" s="29" t="str">
        <f>C109</f>
        <v>ТЫС.РУБ.</v>
      </c>
    </row>
    <row r="111" spans="1:3" x14ac:dyDescent="0.25">
      <c r="A111" s="31" t="s">
        <v>9</v>
      </c>
      <c r="B111" s="35">
        <f>B110/B3</f>
        <v>0.47767900000000002</v>
      </c>
      <c r="C111" s="31"/>
    </row>
    <row r="112" spans="1:3" x14ac:dyDescent="0.25">
      <c r="A112" s="36"/>
      <c r="B112" s="37"/>
      <c r="C112" s="38"/>
    </row>
    <row r="114" spans="1:4" x14ac:dyDescent="0.25">
      <c r="A114" s="4" t="s">
        <v>8</v>
      </c>
      <c r="B114" s="39">
        <f>B46+B58+B110</f>
        <v>100000000</v>
      </c>
      <c r="C114" s="4" t="str">
        <f>C110</f>
        <v>ТЫС.РУБ.</v>
      </c>
    </row>
    <row r="115" spans="1:4" hidden="1" x14ac:dyDescent="0.25">
      <c r="B115" s="25">
        <f>B114-'[1]PC &amp; FP'!D141</f>
        <v>0</v>
      </c>
    </row>
    <row r="117" spans="1:4" x14ac:dyDescent="0.25">
      <c r="A117" s="40" t="s">
        <v>12</v>
      </c>
      <c r="B117" s="41">
        <f>B9+B10+B11+B12+B13+B15+B17+B64+B66+B67+B69+B68+B65</f>
        <v>11041500</v>
      </c>
      <c r="C117" s="41" t="str">
        <f>C114</f>
        <v>ТЫС.РУБ.</v>
      </c>
    </row>
    <row r="118" spans="1:4" x14ac:dyDescent="0.25">
      <c r="A118" s="40" t="s">
        <v>21</v>
      </c>
      <c r="B118" s="41">
        <f>B21+B73+B74</f>
        <v>34500000</v>
      </c>
      <c r="C118" s="41" t="str">
        <f>C117</f>
        <v>ТЫС.РУБ.</v>
      </c>
    </row>
    <row r="119" spans="1:4" x14ac:dyDescent="0.25">
      <c r="A119" s="40" t="s">
        <v>23</v>
      </c>
      <c r="B119" s="41">
        <f>B25+B26+B27+B28+B29+B30+B31+B32+B34+B35+B54+B55+B56+B57+B78+B79+B81+B83+B84+B85+B88+B89+B90+B86</f>
        <v>27458500</v>
      </c>
      <c r="C119" s="41" t="str">
        <f>C118</f>
        <v>ТЫС.РУБ.</v>
      </c>
    </row>
    <row r="120" spans="1:4" x14ac:dyDescent="0.25">
      <c r="A120" s="40" t="s">
        <v>46</v>
      </c>
      <c r="B120" s="41">
        <f>B94+B95+B97+B98+B99+B100</f>
        <v>9000000</v>
      </c>
      <c r="C120" s="41" t="str">
        <f>C119</f>
        <v>ТЫС.РУБ.</v>
      </c>
    </row>
    <row r="121" spans="1:4" x14ac:dyDescent="0.25">
      <c r="A121" s="40" t="s">
        <v>33</v>
      </c>
      <c r="B121" s="41">
        <f>B39+B40+B41+B42+B43+B104+B106+B107+B105</f>
        <v>18000000</v>
      </c>
      <c r="C121" s="41" t="str">
        <f>C120</f>
        <v>ТЫС.РУБ.</v>
      </c>
    </row>
    <row r="122" spans="1:4" x14ac:dyDescent="0.25">
      <c r="A122" s="42" t="s">
        <v>7</v>
      </c>
      <c r="B122" s="43">
        <f>SUM(B117:B121)</f>
        <v>100000000</v>
      </c>
      <c r="C122" s="43" t="str">
        <f>C121</f>
        <v>ТЫС.РУБ.</v>
      </c>
      <c r="D122" s="44"/>
    </row>
  </sheetData>
  <pageMargins left="0.70866141732283472" right="0.70866141732283472" top="0.74803149606299213" bottom="0.74803149606299213" header="0.31496062992125984" footer="0.31496062992125984"/>
  <pageSetup paperSize="9" scale="79" fitToHeight="7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cp:lastPrinted>2025-11-08T06:08:52Z</cp:lastPrinted>
  <dcterms:created xsi:type="dcterms:W3CDTF">2025-11-08T06:07:56Z</dcterms:created>
  <dcterms:modified xsi:type="dcterms:W3CDTF">2025-11-10T14:54:47Z</dcterms:modified>
</cp:coreProperties>
</file>